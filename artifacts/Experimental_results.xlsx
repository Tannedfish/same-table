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erformance" sheetId="1" state="visible" r:id="rId3"/>
    <sheet name="P1 test" sheetId="2" state="visible" r:id="rId4"/>
    <sheet name="P2 queries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<sst xmlns="http://schemas.openxmlformats.org/spreadsheetml/2006/main" count="892" uniqueCount="581">
  <si>
    <t xml:space="preserve">Project:</t>
  </si>
  <si>
    <r>
      <rPr>
        <b val="true"/>
        <sz val="12"/>
        <rFont val="Arial"/>
        <family val="0"/>
        <charset val="1"/>
      </rPr>
      <t xml:space="preserve">Same Table / </t>
    </r>
    <r>
      <rPr>
        <b val="true"/>
        <sz val="12"/>
        <rFont val="Noto Sans CJK SC"/>
        <family val="2"/>
      </rPr>
      <t xml:space="preserve">糖友同枱 </t>
    </r>
    <r>
      <rPr>
        <b val="true"/>
        <sz val="12"/>
        <rFont val="Arial"/>
        <family val="0"/>
        <charset val="1"/>
      </rPr>
      <t xml:space="preserve">- shared home dinner planning for diabetes patients (Hospital Authority, classroom prototype)</t>
    </r>
  </si>
  <si>
    <t xml:space="preserve">There are two pipelines in this app.</t>
  </si>
  <si>
    <t xml:space="preserve">Pipeline 1 (understand the cook's request) is highly relevant to the project objective and therefore, it requires finetuning.</t>
  </si>
  <si>
    <t xml:space="preserve">Pipeline 2 (retrieve dishes from the labeled library) does not require finetuning.</t>
  </si>
  <si>
    <t xml:space="preserve">Experiment: Selecting the optimal model(s)</t>
  </si>
  <si>
    <t xml:space="preserve">Experiment: Assessing the overall performance</t>
  </si>
  <si>
    <t xml:space="preserve">Step 1: Select THREE relevant and comparable pre-trained models</t>
  </si>
  <si>
    <t xml:space="preserve">Step 2a: Finetune the selected models with own dataset</t>
  </si>
  <si>
    <t xml:space="preserve">Step 3: Implement the App and deploy it to Streamlit Cloud</t>
  </si>
  <si>
    <t xml:space="preserve">Pipeline 1 - Multi-label text classification (to be finetuned)</t>
  </si>
  <si>
    <t xml:space="preserve">Fine-tuning</t>
  </si>
  <si>
    <t xml:space="preserve">1. Deployment</t>
  </si>
  <si>
    <t xml:space="preserve">Dataset:</t>
  </si>
  <si>
    <t xml:space="preserve">data/train/p1_train.jsonl, p1_eval.jsonl, p1_test.jsonl</t>
  </si>
  <si>
    <t xml:space="preserve">App = pipeline 1 (finetuned hfl/rbt6) + pipeline 2 (BAAI/bge-small-zh-v1.5, hybrid weight 3) + plating rules</t>
  </si>
  <si>
    <t xml:space="preserve">training samples:</t>
  </si>
  <si>
    <t xml:space="preserve">Pipeline 1 as deployed (finetuned model + keyword lexicon), accuracy on the hand-written sentences: 0.889</t>
  </si>
  <si>
    <t xml:space="preserve">evaluation samples:</t>
  </si>
  <si>
    <t xml:space="preserve">testing samples (hand-written):</t>
  </si>
  <si>
    <t xml:space="preserve">2. Test and evaluate the App (20 test samples)</t>
  </si>
  <si>
    <t xml:space="preserve">Objective judgement: tags, dish count, no repeats, methods, soup, 20-min, balance</t>
  </si>
  <si>
    <t xml:space="preserve">Test</t>
  </si>
  <si>
    <t xml:space="preserve">Inputs (people | request | chips)</t>
  </si>
  <si>
    <t xml:space="preserve">Outputs (tags found | menu)</t>
  </si>
  <si>
    <t xml:space="preserve">Correct or not (notebook)</t>
  </si>
  <si>
    <t xml:space="preserve">Checked on Streamlit Cloud (fill in: Correct / Incorrect)</t>
  </si>
  <si>
    <t xml:space="preserve">Model name</t>
  </si>
  <si>
    <t xml:space="preserve">Accuracy (after finetuning, using trainer.evaluate())</t>
  </si>
  <si>
    <t xml:space="preserve">Run time (in sec. per 100 requests, CPU)</t>
  </si>
  <si>
    <t xml:space="preserve">Fine-tuning time (in sec.)</t>
  </si>
  <si>
    <t xml:space="preserve">Accuracy on hand-written test</t>
  </si>
  <si>
    <t xml:space="preserve">Test sample 1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</si>
  <si>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阿爸牙唔好，想食啲軟熟嘅蒸餸，唔好太甜</t>
    </r>
  </si>
  <si>
    <r>
      <rPr>
        <sz val="11"/>
        <rFont val="Arial"/>
        <family val="0"/>
        <charset val="1"/>
      </rPr>
      <t xml:space="preserve">tags: less_sweet,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蝦仁蒸蛋豆腐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</si>
  <si>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Correct</t>
  </si>
  <si>
    <t xml:space="preserve">Model 1</t>
  </si>
  <si>
    <t xml:space="preserve">hfl/rbt3</t>
  </si>
  <si>
    <t xml:space="preserve">Test sample 2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</si>
  <si>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今晚好趕，求其炒兩個餸就算</t>
    </r>
  </si>
  <si>
    <r>
      <rPr>
        <sz val="11"/>
        <rFont val="Arial"/>
        <family val="0"/>
        <charset val="1"/>
      </rPr>
      <t xml:space="preserve">tags: quick, stir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</si>
  <si>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Model 2</t>
  </si>
  <si>
    <t xml:space="preserve">hfl/rbt6</t>
  </si>
  <si>
    <t xml:space="preserve">Test sample 3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</si>
  <si>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想煲湯，另外加個白灼菜</t>
    </r>
  </si>
  <si>
    <r>
      <rPr>
        <sz val="11"/>
        <rFont val="Arial"/>
        <family val="0"/>
        <charset val="1"/>
      </rPr>
      <t xml:space="preserve">tags: blanch, soup | </t>
    </r>
    <r>
      <rPr>
        <sz val="11"/>
        <rFont val="Noto Sans CJK SC"/>
        <family val="2"/>
      </rPr>
      <t xml:space="preserve">白切雞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『涼拌皮蛋』－清爽、酸辣、開胃。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涼拌魚皮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芹菜炒花枝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 / </t>
    </r>
    <r>
      <rPr>
        <sz val="11"/>
        <rFont val="Noto Sans CJK SC"/>
        <family val="2"/>
      </rPr>
      <t xml:space="preserve">客家鹹湯圓的“炒料”</t>
    </r>
  </si>
  <si>
    <t xml:space="preserve">Model 3</t>
  </si>
  <si>
    <t xml:space="preserve">hfl/chinese-roberta-wwm-ext</t>
  </si>
  <si>
    <t xml:space="preserve">Test sample 4</t>
  </si>
  <si>
    <r>
      <rPr>
        <sz val="11"/>
        <rFont val="Arial"/>
        <family val="0"/>
        <charset val="1"/>
      </rPr>
      <t xml:space="preserve">5 people | </t>
    </r>
    <r>
      <rPr>
        <sz val="11"/>
        <rFont val="Noto Sans CJK SC"/>
        <family val="2"/>
      </rPr>
      <t xml:space="preserve">屋企有三個男仔，肉要多</t>
    </r>
  </si>
  <si>
    <r>
      <rPr>
        <sz val="11"/>
        <rFont val="Arial"/>
        <family val="0"/>
        <charset val="1"/>
      </rPr>
      <t xml:space="preserve">tags: more_meat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十三香炒回鍋肉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免炒無油無糖自製棗泥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素食版的粄條😋 蔬炒粄條🤤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薑絲石斑魚蛤蜊湯</t>
    </r>
  </si>
  <si>
    <t xml:space="preserve">Baseline</t>
  </si>
  <si>
    <t xml:space="preserve">keyword lexicon (no model, no training)</t>
  </si>
  <si>
    <t xml:space="preserve">&lt; 0.01</t>
  </si>
  <si>
    <t xml:space="preserve">Test sample 5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</si>
  <si>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最近食得好油，想清清地</t>
    </r>
  </si>
  <si>
    <r>
      <rPr>
        <sz val="11"/>
        <rFont val="Arial"/>
        <family val="0"/>
        <charset val="1"/>
      </rPr>
      <t xml:space="preserve">tags: more_veg | </t>
    </r>
    <r>
      <rPr>
        <sz val="11"/>
        <rFont val="Noto Sans CJK SC"/>
        <family val="2"/>
      </rPr>
      <t xml:space="preserve">『涼拌皮蛋』－清爽、酸辣、開胃。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山藥排骨湯</t>
    </r>
  </si>
  <si>
    <t xml:space="preserve">MoritzLaurer/mDeBERTa-v3-base-mnli-xnli (zero-shot, no training)</t>
  </si>
  <si>
    <t xml:space="preserve">n/a</t>
  </si>
  <si>
    <t xml:space="preserve">Test sample 6</t>
  </si>
  <si>
    <t xml:space="preserve">4 people | (empty box)  [chips: steam, soup]</t>
  </si>
  <si>
    <r>
      <rPr>
        <sz val="11"/>
        <rFont val="Arial"/>
        <family val="0"/>
        <charset val="1"/>
      </rPr>
      <t xml:space="preserve">tags: soup,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百合蒸东星斑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炒結頭菜乾 </t>
    </r>
    <r>
      <rPr>
        <sz val="11"/>
        <rFont val="Arial"/>
        <family val="0"/>
        <charset val="1"/>
      </rPr>
      <t xml:space="preserve">/ 🍲</t>
    </r>
    <r>
      <rPr>
        <sz val="11"/>
        <rFont val="Noto Sans CJK SC"/>
        <family val="2"/>
      </rPr>
      <t xml:space="preserve">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</si>
  <si>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Accuracy = all 8 tags of a sentence correct (exact match). Settings: 3 epochs, learning rate 5e-05, batch 16, fine-tuned on cpu. Source: notebooks/Model1_finetune_tagger.ipynb. The picked model's hand-written accuracy is a formula over sheet 'P1 test'.</t>
  </si>
  <si>
    <t xml:space="preserve">Test sample 7</t>
  </si>
  <si>
    <t xml:space="preserve">4 people | (empty box)</t>
  </si>
  <si>
    <r>
      <rPr>
        <sz val="11"/>
        <rFont val="Arial"/>
        <family val="0"/>
        <charset val="1"/>
      </rPr>
      <t xml:space="preserve">tags: (none) | </t>
    </r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蒜香鮮蝦炒彩蔬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</si>
  <si>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Test sample 8</t>
  </si>
  <si>
    <r>
      <rPr>
        <sz val="11"/>
        <rFont val="Arial"/>
        <family val="0"/>
        <charset val="1"/>
      </rPr>
      <t xml:space="preserve">1 people | </t>
    </r>
    <r>
      <rPr>
        <sz val="11"/>
        <rFont val="Noto Sans CJK SC"/>
        <family val="2"/>
      </rPr>
      <t xml:space="preserve">七點先放工，要十五分鐘搞得掂</t>
    </r>
  </si>
  <si>
    <r>
      <rPr>
        <sz val="11"/>
        <rFont val="Arial"/>
        <family val="0"/>
        <charset val="1"/>
      </rPr>
      <t xml:space="preserve">tags: quick | </t>
    </r>
    <r>
      <rPr>
        <sz val="11"/>
        <rFont val="Noto Sans CJK SC"/>
        <family val="2"/>
      </rPr>
      <t xml:space="preserve">十三香炒回鍋肉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</si>
  <si>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Step 2b: Pick the BEST finetuned model for implementation</t>
  </si>
  <si>
    <t xml:space="preserve">Test sample 9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</si>
  <si>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婆婆糖尿，醬汁唔可以甜  </t>
    </r>
    <r>
      <rPr>
        <sz val="11"/>
        <rFont val="Arial"/>
        <family val="0"/>
        <charset val="1"/>
      </rPr>
      <t xml:space="preserve">[chips: more_veg]</t>
    </r>
  </si>
  <si>
    <r>
      <rPr>
        <sz val="11"/>
        <rFont val="Arial"/>
        <family val="0"/>
        <charset val="1"/>
      </rPr>
      <t xml:space="preserve">tags: less_sweet, more_veg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炒櫻桃鴨胸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涼拌櫛瓜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白菜蛋花湯</t>
    </r>
  </si>
  <si>
    <t xml:space="preserve">hfl/rbt6 is picked: highest evaluation accuracy; models within one standard error of the best are tied and the shortest run time wins.</t>
  </si>
  <si>
    <t xml:space="preserve">Test sample 10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</si>
  <si>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今晚想吃清蒸的，配一個燙青菜</t>
    </r>
  </si>
  <si>
    <r>
      <rPr>
        <sz val="11"/>
        <rFont val="Arial"/>
        <family val="0"/>
        <charset val="1"/>
      </rPr>
      <t xml:space="preserve">tags: blanch, steam |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榭黃芥菜羹｜立春節氣料理</t>
    </r>
  </si>
  <si>
    <t xml:space="preserve">The finetuned model is uploaded to Hugging Face as Tannedfish/same-table-tagger and is used for implementing the App.</t>
  </si>
  <si>
    <t xml:space="preserve">Test sample 11</t>
  </si>
  <si>
    <t xml:space="preserve">4 people | quick stir fry with lots of veggies</t>
  </si>
  <si>
    <r>
      <rPr>
        <sz val="11"/>
        <rFont val="Arial"/>
        <family val="0"/>
        <charset val="1"/>
      </rPr>
      <t xml:space="preserve">tags: more_veg, quick, stir | </t>
    </r>
    <r>
      <rPr>
        <sz val="11"/>
        <rFont val="Noto Sans CJK SC"/>
        <family val="2"/>
      </rPr>
      <t xml:space="preserve">爆香麻辣雞肝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芹菜炒花枝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芹菜小黃瓜炒豆腐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清炒小芥菜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酸菜豬血湯</t>
    </r>
  </si>
  <si>
    <t xml:space="preserve">Test sample 12</t>
  </si>
  <si>
    <t xml:space="preserve">5 people | we want more meat tonight and a soup</t>
  </si>
  <si>
    <r>
      <rPr>
        <sz val="11"/>
        <rFont val="Arial"/>
        <family val="0"/>
        <charset val="1"/>
      </rPr>
      <t xml:space="preserve">tags: more_meat, soup | </t>
    </r>
    <r>
      <rPr>
        <sz val="11"/>
        <rFont val="Noto Sans CJK SC"/>
        <family val="2"/>
      </rPr>
      <t xml:space="preserve">蒜苗炒臘肉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洋蔥炒鹹豬肉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韭菜肉片炒金針菇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蒜蓉蒸蝦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鹽炒花生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小黃瓜炒杏鮑菇及火腿片 </t>
    </r>
    <r>
      <rPr>
        <sz val="11"/>
        <rFont val="Arial"/>
        <family val="0"/>
        <charset val="1"/>
      </rPr>
      <t xml:space="preserve">/ *</t>
    </r>
    <r>
      <rPr>
        <sz val="11"/>
        <rFont val="Noto Sans CJK SC"/>
        <family val="2"/>
      </rPr>
      <t xml:space="preserve">蔥薑蒜</t>
    </r>
    <r>
      <rPr>
        <sz val="11"/>
        <rFont val="Arial"/>
        <family val="0"/>
        <charset val="1"/>
      </rPr>
      <t xml:space="preserve">* </t>
    </r>
    <r>
      <rPr>
        <sz val="11"/>
        <rFont val="Noto Sans CJK SC"/>
        <family val="2"/>
      </rPr>
      <t xml:space="preserve">香菇雞湯</t>
    </r>
  </si>
  <si>
    <t xml:space="preserve">Test sample 13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</si>
  <si>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落雨天想飲啖熱湯</t>
    </r>
  </si>
  <si>
    <r>
      <rPr>
        <sz val="11"/>
        <rFont val="Arial"/>
        <family val="0"/>
        <charset val="1"/>
      </rPr>
      <t xml:space="preserve">tags: soup | </t>
    </r>
    <r>
      <rPr>
        <sz val="11"/>
        <rFont val="Noto Sans CJK SC"/>
        <family val="2"/>
      </rPr>
      <t xml:space="preserve">豬肉辣炒高麗菜乾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 / 🍲</t>
    </r>
    <r>
      <rPr>
        <sz val="11"/>
        <rFont val="Noto Sans CJK SC"/>
        <family val="2"/>
      </rPr>
      <t xml:space="preserve">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</si>
  <si>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Step 2a: Test the performance of the selected models with your own dataset</t>
  </si>
  <si>
    <t xml:space="preserve">Test sample 14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</si>
  <si>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想食得有鑊氣，炒牛肉都好</t>
    </r>
  </si>
  <si>
    <r>
      <rPr>
        <sz val="11"/>
        <rFont val="Arial"/>
        <family val="0"/>
        <charset val="1"/>
      </rPr>
      <t xml:space="preserve">tags: stir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香菇肉末炒龍鬚菜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洋蔥毛肚炒蒜苗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芹菜鮮蔬炒豆乾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清燉牛肉湯</t>
    </r>
  </si>
  <si>
    <t xml:space="preserve">Pipeline 2 - Feature extraction (sentence embeddings for dish retrieval, not finetuned)</t>
  </si>
  <si>
    <t xml:space="preserve">Test sample 15</t>
  </si>
  <si>
    <r>
      <rPr>
        <sz val="11"/>
        <rFont val="Arial"/>
        <family val="0"/>
        <charset val="1"/>
      </rPr>
      <t xml:space="preserve">6 people | </t>
    </r>
    <r>
      <rPr>
        <sz val="11"/>
        <rFont val="Noto Sans CJK SC"/>
        <family val="2"/>
      </rPr>
      <t xml:space="preserve">蒸魚，炒菜，再加個湯</t>
    </r>
  </si>
  <si>
    <r>
      <rPr>
        <sz val="11"/>
        <rFont val="Arial"/>
        <family val="0"/>
        <charset val="1"/>
      </rPr>
      <t xml:space="preserve">tags: soup, steam, stir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清蒸山藥｜三鮮肉丸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清蒸石斑魚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百合蒸东星斑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炒結頭菜乾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客家鹹湯圓的“炒料”</t>
    </r>
  </si>
  <si>
    <t xml:space="preserve">data/train/p2_dev.jsonl (development), p2_test.jsonl + p2_paraphrase_test.jsonl (testing)</t>
  </si>
  <si>
    <t xml:space="preserve">Test sample 16</t>
  </si>
  <si>
    <r>
      <rPr>
        <sz val="11"/>
        <rFont val="Arial"/>
        <family val="0"/>
        <charset val="1"/>
      </rPr>
      <t xml:space="preserve">3 people | </t>
    </r>
    <r>
      <rPr>
        <sz val="11"/>
        <rFont val="Noto Sans CJK SC"/>
        <family val="2"/>
      </rPr>
      <t xml:space="preserve">十五分鐘煮好，灼個菜蒸條魚</t>
    </r>
  </si>
  <si>
    <r>
      <rPr>
        <sz val="11"/>
        <rFont val="Arial"/>
        <family val="0"/>
        <charset val="1"/>
      </rPr>
      <t xml:space="preserve">tags: blanch, quick, steam | </t>
    </r>
    <r>
      <rPr>
        <sz val="11"/>
        <rFont val="Noto Sans CJK SC"/>
        <family val="2"/>
      </rPr>
      <t xml:space="preserve">不會失敗的蒸蛋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薑絲石斑魚蛤蜊湯</t>
    </r>
  </si>
  <si>
    <t xml:space="preserve">Incorrect (methods on menu)</t>
  </si>
  <si>
    <t xml:space="preserve">development samples (set the hybrid weight):</t>
  </si>
  <si>
    <t xml:space="preserve">Test sample 17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</si>
  <si>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多菜少肉，唔好甜  </t>
    </r>
    <r>
      <rPr>
        <sz val="11"/>
        <rFont val="Arial"/>
        <family val="0"/>
        <charset val="1"/>
      </rPr>
      <t xml:space="preserve">[chips: quick]</t>
    </r>
  </si>
  <si>
    <r>
      <rPr>
        <sz val="11"/>
        <rFont val="Arial"/>
        <family val="0"/>
        <charset val="1"/>
      </rPr>
      <t xml:space="preserve">tags: less_sweet, more_veg, quick | </t>
    </r>
    <r>
      <rPr>
        <sz val="11"/>
        <rFont val="Noto Sans CJK SC"/>
        <family val="2"/>
      </rPr>
      <t xml:space="preserve">好市多牛三寶炒蒜苗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</si>
  <si>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testing samples (literal queries):</t>
  </si>
  <si>
    <t xml:space="preserve">Test sample 18</t>
  </si>
  <si>
    <r>
      <rPr>
        <sz val="11"/>
        <rFont val="Arial"/>
        <family val="0"/>
        <charset val="1"/>
      </rPr>
      <t xml:space="preserve">2 people | </t>
    </r>
    <r>
      <rPr>
        <sz val="11"/>
        <rFont val="Noto Sans CJK SC"/>
        <family val="2"/>
      </rPr>
      <t xml:space="preserve">隨便啦  </t>
    </r>
    <r>
      <rPr>
        <sz val="11"/>
        <rFont val="Arial"/>
        <family val="0"/>
        <charset val="1"/>
      </rPr>
      <t xml:space="preserve">[chips: blanch]</t>
    </r>
  </si>
  <si>
    <r>
      <rPr>
        <sz val="11"/>
        <rFont val="Arial"/>
        <family val="0"/>
        <charset val="1"/>
      </rPr>
      <t xml:space="preserve">tags: blanch | </t>
    </r>
    <r>
      <rPr>
        <sz val="11"/>
        <rFont val="Noto Sans CJK SC"/>
        <family val="2"/>
      </rPr>
      <t xml:space="preserve">白切雞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涼拌魚皮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</t>
    </r>
  </si>
  <si>
    <t xml:space="preserve">testing samples (paraphrase queries):</t>
  </si>
  <si>
    <t xml:space="preserve">Test sample 19</t>
  </si>
  <si>
    <r>
      <rPr>
        <sz val="11"/>
        <rFont val="Arial"/>
        <family val="0"/>
        <charset val="1"/>
      </rPr>
      <t xml:space="preserve">5 people | </t>
    </r>
    <r>
      <rPr>
        <sz val="11"/>
        <rFont val="Noto Sans CJK SC"/>
        <family val="2"/>
      </rPr>
      <t xml:space="preserve">長輩血糖高，不要甜的</t>
    </r>
  </si>
  <si>
    <r>
      <rPr>
        <sz val="11"/>
        <rFont val="Arial"/>
        <family val="0"/>
        <charset val="1"/>
      </rPr>
      <t xml:space="preserve">tags: less_sweet | </t>
    </r>
    <r>
      <rPr>
        <sz val="11"/>
        <rFont val="Noto Sans CJK SC"/>
        <family val="2"/>
      </rPr>
      <t xml:space="preserve">豬肉辣炒高麗菜乾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洋蔥炒鹹豬肉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蝦仁炒毛豆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古早味鯖魚罐頭炒高麗菜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甜豌豆炒菇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免炒無油無糖自製棗泥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酸菜豬血湯</t>
    </r>
  </si>
  <si>
    <t xml:space="preserve">library dishes searched:</t>
  </si>
  <si>
    <t xml:space="preserve">Test sample 20</t>
  </si>
  <si>
    <r>
      <rPr>
        <sz val="11"/>
        <rFont val="Arial"/>
        <family val="0"/>
        <charset val="1"/>
      </rPr>
      <t xml:space="preserve">4 people | </t>
    </r>
    <r>
      <rPr>
        <sz val="11"/>
        <rFont val="Noto Sans CJK SC"/>
        <family val="2"/>
      </rPr>
      <t xml:space="preserve">雪櫃有雞胸同菠菜</t>
    </r>
  </si>
  <si>
    <r>
      <rPr>
        <sz val="11"/>
        <rFont val="Arial"/>
        <family val="0"/>
        <charset val="1"/>
      </rPr>
      <t xml:space="preserve">tags: more_veg | </t>
    </r>
    <r>
      <rPr>
        <sz val="11"/>
        <rFont val="Noto Sans CJK SC"/>
        <family val="2"/>
      </rPr>
      <t xml:space="preserve">涼拌小黃瓜雞絲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菠菜炒鴻禧菇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薑絲高麗菜炒小黃瓜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芹菜鮮蔬炒豆乾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蒜炒菜心 </t>
    </r>
    <r>
      <rPr>
        <sz val="11"/>
        <rFont val="Arial"/>
        <family val="0"/>
        <charset val="1"/>
      </rPr>
      <t xml:space="preserve">/ </t>
    </r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</si>
  <si>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Incorrect (tags)</t>
  </si>
  <si>
    <t xml:space="preserve">Performance (top-5 accuracy, literal queries)</t>
  </si>
  <si>
    <t xml:space="preserve">Run time (in sec. per 100 queries, CPU)</t>
  </si>
  <si>
    <t xml:space="preserve">Top-1 accuracy</t>
  </si>
  <si>
    <t xml:space="preserve">Paraphrase precision@5</t>
  </si>
  <si>
    <t xml:space="preserve">Hybrid weight w</t>
  </si>
  <si>
    <t xml:space="preserve">Accuracy (notebook):</t>
  </si>
  <si>
    <t xml:space="preserve">BAAI/bge-small-zh-v1.5</t>
  </si>
  <si>
    <t xml:space="preserve">shibing624/text2vec-base-chinese</t>
  </si>
  <si>
    <t xml:space="preserve">Accuracy (Streamlit Cloud):</t>
  </si>
  <si>
    <t xml:space="preserve">sentence-transformers/paraphrase-multilingual-MiniLM-L12-v2</t>
  </si>
  <si>
    <t xml:space="preserve">character TF-IDF (no model)</t>
  </si>
  <si>
    <t xml:space="preserve">&lt; 0.1</t>
  </si>
  <si>
    <t xml:space="preserve">Legend: fill the shaded column N after repeating each request on the deployed app (type Correct or Incorrect). Green rows = picked models.</t>
  </si>
  <si>
    <t xml:space="preserve">A query is correct when its target dish is ranked in the top 5 of the library (the menu shows 6-8 dishes). Each encoder runs through the app's Retriever: score = cosine similarity + w x character TF-IDF, with w set on the development queries only. Source: notebooks/Model2_experiments.ipynb; accuracy cells are formulas over sheet 'P2 queries'.</t>
  </si>
  <si>
    <t xml:space="preserve">Step 2b: Pick the BEST model for implementation</t>
  </si>
  <si>
    <t xml:space="preserve">BAAI/bge-small-zh-v1.5 is picked: highest top-5 accuracy; models within one standard error of the best are tied and the shortest run time wins.</t>
  </si>
  <si>
    <t xml:space="preserve">Hand-written test sentence</t>
  </si>
  <si>
    <t xml:space="preserve">Expected tags</t>
  </si>
  <si>
    <t xml:space="preserve">Predicted tags (hfl/rbt6, fine-tuned)</t>
  </si>
  <si>
    <t xml:space="preserve">Correct or not</t>
  </si>
  <si>
    <t xml:space="preserve">阿爸牙唔好，想食啲軟熟嘅蒸餸，唔好太甜</t>
  </si>
  <si>
    <t xml:space="preserve">steam, less_sweet</t>
  </si>
  <si>
    <t xml:space="preserve">今晚好趕，求其炒兩個餸就算</t>
  </si>
  <si>
    <t xml:space="preserve">stir, quick</t>
  </si>
  <si>
    <t xml:space="preserve">想煲湯，另外加個白灼菜</t>
  </si>
  <si>
    <t xml:space="preserve">blanch, soup</t>
  </si>
  <si>
    <t xml:space="preserve">屋企有三個男仔，肉要多</t>
  </si>
  <si>
    <t xml:space="preserve">more_meat</t>
  </si>
  <si>
    <t xml:space="preserve">最近食得好油，想清清地</t>
  </si>
  <si>
    <t xml:space="preserve">more_veg</t>
  </si>
  <si>
    <t xml:space="preserve">可唔可以蒸魚加個湯</t>
  </si>
  <si>
    <t xml:space="preserve">steam, soup</t>
  </si>
  <si>
    <t xml:space="preserve">七點先放工，要十五分鐘搞得掂</t>
  </si>
  <si>
    <t xml:space="preserve">quick</t>
  </si>
  <si>
    <t xml:space="preserve">婆婆糖尿，醬汁唔可以甜</t>
  </si>
  <si>
    <t xml:space="preserve">less_sweet</t>
  </si>
  <si>
    <t xml:space="preserve">今晚想吃清蒸的，配一個燙青菜</t>
  </si>
  <si>
    <t xml:space="preserve">steam, blanch</t>
  </si>
  <si>
    <t xml:space="preserve">我想喝湯，還要一個快炒</t>
  </si>
  <si>
    <t xml:space="preserve">soup, stir</t>
  </si>
  <si>
    <t xml:space="preserve">something steamed and not sweet</t>
  </si>
  <si>
    <t xml:space="preserve">quick stir fry with lots of veggies</t>
  </si>
  <si>
    <t xml:space="preserve">stir, more_veg, quick</t>
  </si>
  <si>
    <t xml:space="preserve">stir, more_veg</t>
  </si>
  <si>
    <t xml:space="preserve">we want more meat tonight and a soup</t>
  </si>
  <si>
    <t xml:space="preserve">soup, more_meat</t>
  </si>
  <si>
    <t xml:space="preserve">冇特別要求</t>
  </si>
  <si>
    <t xml:space="preserve">(none)</t>
  </si>
  <si>
    <t xml:space="preserve">今晚五個人食</t>
  </si>
  <si>
    <t xml:space="preserve">跟平時一樣就可以</t>
  </si>
  <si>
    <t xml:space="preserve">唔知食乜</t>
  </si>
  <si>
    <t xml:space="preserve">天氣熱冇胃口，想食得清啲，灼菜就夠</t>
  </si>
  <si>
    <t xml:space="preserve">blanch, more_veg</t>
  </si>
  <si>
    <t xml:space="preserve">個仔打完波好肚餓，要多啲肉，快啲有得食</t>
  </si>
  <si>
    <t xml:space="preserve">more_meat, quick</t>
  </si>
  <si>
    <t xml:space="preserve">唔想成身油煙，用蒸嘅</t>
  </si>
  <si>
    <t xml:space="preserve">steam</t>
  </si>
  <si>
    <t xml:space="preserve">落雨天想飲啖熱湯</t>
  </si>
  <si>
    <t xml:space="preserve">soup</t>
  </si>
  <si>
    <t xml:space="preserve">醫生叫佢控制血糖，啲餸唔好落糖</t>
  </si>
  <si>
    <t xml:space="preserve">想食得有鑊氣，炒牛肉都好</t>
  </si>
  <si>
    <t xml:space="preserve">stir</t>
  </si>
  <si>
    <t xml:space="preserve">青菜白灼，蝦都白灼</t>
  </si>
  <si>
    <t xml:space="preserve">blanch</t>
  </si>
  <si>
    <t xml:space="preserve">要有菜有湯，菜要多</t>
  </si>
  <si>
    <t xml:space="preserve">soup, more_veg</t>
  </si>
  <si>
    <t xml:space="preserve">半個鐘內要開飯，蒸啲嘢最方便</t>
  </si>
  <si>
    <t xml:space="preserve">steam, quick</t>
  </si>
  <si>
    <t xml:space="preserve">唔要甜酸排骨嗰類，改做蒸嘅</t>
  </si>
  <si>
    <t xml:space="preserve">老人家同小朋友都食，煲個湯，炒個菜</t>
  </si>
  <si>
    <t xml:space="preserve">多菜少肉，唔好甜</t>
  </si>
  <si>
    <t xml:space="preserve">more_veg, less_sweet</t>
  </si>
  <si>
    <t xml:space="preserve">食肉獸，冇肉唔得</t>
  </si>
  <si>
    <t xml:space="preserve">不想太油膩，蔬菜多一點</t>
  </si>
  <si>
    <t xml:space="preserve">時間不多，簡單炒一炒</t>
  </si>
  <si>
    <t xml:space="preserve">想吃水煮的青菜和蒸蛋</t>
  </si>
  <si>
    <t xml:space="preserve">今晚要控糖，不要加糖</t>
  </si>
  <si>
    <t xml:space="preserve">來一鍋湯，肉多一點</t>
  </si>
  <si>
    <t xml:space="preserve">light dinner, mostly vegetables, no sugar</t>
  </si>
  <si>
    <t xml:space="preserve">I only have 20 minutes</t>
  </si>
  <si>
    <t xml:space="preserve">poached chicken and a clear soup</t>
  </si>
  <si>
    <t xml:space="preserve">six people coming over</t>
  </si>
  <si>
    <t xml:space="preserve">surprise me</t>
  </si>
  <si>
    <t xml:space="preserve">唔好煎炸，蒸同灼就好</t>
  </si>
  <si>
    <t xml:space="preserve">返到屋企都八點，要快手，有湯更好</t>
  </si>
  <si>
    <t xml:space="preserve">soup, quick</t>
  </si>
  <si>
    <t xml:space="preserve">呢排肥咗，想食多啲菜</t>
  </si>
  <si>
    <t xml:space="preserve">阿女減肥，唔食甜嘢，多菜</t>
  </si>
  <si>
    <t xml:space="preserve">想整個滾湯，十分鐘嗰種</t>
  </si>
  <si>
    <t xml:space="preserve">蒸肉餅啦，再炒個菜</t>
  </si>
  <si>
    <t xml:space="preserve">steam, stir</t>
  </si>
  <si>
    <t xml:space="preserve">大家都想食肉，炒嘅</t>
  </si>
  <si>
    <t xml:space="preserve">stir, more_meat</t>
  </si>
  <si>
    <t xml:space="preserve">淨係想食灼菜</t>
  </si>
  <si>
    <t xml:space="preserve">有冇唔使落糖嘅蒸餸</t>
  </si>
  <si>
    <t xml:space="preserve">公公咬唔到硬嘢，煲湯同蒸水蛋</t>
  </si>
  <si>
    <t xml:space="preserve">好攰，唔想諗，快就得</t>
  </si>
  <si>
    <t xml:space="preserve">想食啲惹味小炒，但唔好甜</t>
  </si>
  <si>
    <t xml:space="preserve">stir, less_sweet</t>
  </si>
  <si>
    <t xml:space="preserve">今晚吃素一點</t>
  </si>
  <si>
    <t xml:space="preserve">三菜一湯</t>
  </si>
  <si>
    <t xml:space="preserve">要有魚有菜</t>
  </si>
  <si>
    <t xml:space="preserve">阿媽鍾意食魚</t>
  </si>
  <si>
    <t xml:space="preserve">唔食辣</t>
  </si>
  <si>
    <t xml:space="preserve">兩個大人一個小朋友</t>
  </si>
  <si>
    <t xml:space="preserve">想要白灼海鮮，唔好落醬</t>
  </si>
  <si>
    <t xml:space="preserve">蛋白質要夠，啲仔要長高</t>
  </si>
  <si>
    <t xml:space="preserve">急，蒸</t>
  </si>
  <si>
    <t xml:space="preserve">炒，多肉，快</t>
  </si>
  <si>
    <t xml:space="preserve">stir, more_meat, quick</t>
  </si>
  <si>
    <t xml:space="preserve">湯，菜多，少甜</t>
  </si>
  <si>
    <t xml:space="preserve">soup, more_veg, less_sweet</t>
  </si>
  <si>
    <t xml:space="preserve">唔想食得太膩，清蒸或者白灼都得</t>
  </si>
  <si>
    <t xml:space="preserve">steam, blanch, more_veg</t>
  </si>
  <si>
    <t xml:space="preserve">收工遲，淥個菜炒個蛋算</t>
  </si>
  <si>
    <t xml:space="preserve">blanch, stir, quick</t>
  </si>
  <si>
    <t xml:space="preserve">no sweet sauces, steamed fish would be great</t>
  </si>
  <si>
    <t xml:space="preserve">lots of protein, stir fried</t>
  </si>
  <si>
    <t xml:space="preserve">a warm broth and blanched greens</t>
  </si>
  <si>
    <t xml:space="preserve">想吃有肉的，不要甜</t>
  </si>
  <si>
    <t xml:space="preserve">more_meat, less_sweet</t>
  </si>
  <si>
    <t xml:space="preserve">下班晚了，快點煮好，清淡一點</t>
  </si>
  <si>
    <t xml:space="preserve">more_veg, quick</t>
  </si>
  <si>
    <t xml:space="preserve">蒸的炒的都可以，要有湯</t>
  </si>
  <si>
    <t xml:space="preserve">steam, soup, stir</t>
  </si>
  <si>
    <t xml:space="preserve">唔該整返啲家常小菜</t>
  </si>
  <si>
    <t xml:space="preserve">阿嫲想飲老火湯</t>
  </si>
  <si>
    <t xml:space="preserve">兩餸一湯，炒嘅</t>
  </si>
  <si>
    <t xml:space="preserve">白烚雞同烚菜</t>
  </si>
  <si>
    <t xml:space="preserve">想要蒸水蛋同埋灼生菜</t>
  </si>
  <si>
    <t xml:space="preserve">八點半先開飯，快炒算</t>
  </si>
  <si>
    <t xml:space="preserve">唔好甜，唔好炒，蒸就得</t>
  </si>
  <si>
    <t xml:space="preserve">steam, stir, less_sweet</t>
  </si>
  <si>
    <t xml:space="preserve">肉少啲，菜多啲</t>
  </si>
  <si>
    <t xml:space="preserve">啲男仔話要多肉少菜</t>
  </si>
  <si>
    <t xml:space="preserve">阿爸要戒糖，煲個清湯</t>
  </si>
  <si>
    <t xml:space="preserve">soup, less_sweet</t>
  </si>
  <si>
    <t xml:space="preserve">十五分鐘煮好，灼個菜蒸條魚</t>
  </si>
  <si>
    <t xml:space="preserve">steam, blanch, quick</t>
  </si>
  <si>
    <t xml:space="preserve">想食住家菜</t>
  </si>
  <si>
    <t xml:space="preserve">今晚有客人</t>
  </si>
  <si>
    <t xml:space="preserve">老婆大肚，想食得清淡</t>
  </si>
  <si>
    <t xml:space="preserve">我想要有汁撈飯嘅餸</t>
  </si>
  <si>
    <t xml:space="preserve">唔想洗咁多碗</t>
  </si>
  <si>
    <t xml:space="preserve">蒸魚，炒菜，再加個湯</t>
  </si>
  <si>
    <t xml:space="preserve">湯要足料，肉要多</t>
  </si>
  <si>
    <t xml:space="preserve">用最快嘅方法整餐飯</t>
  </si>
  <si>
    <t xml:space="preserve">唔好落糖同蜜糖</t>
  </si>
  <si>
    <t xml:space="preserve">淨係想食菜，灼就得</t>
  </si>
  <si>
    <t xml:space="preserve">今晚簡單吃，燙個青菜煮個湯</t>
  </si>
  <si>
    <t xml:space="preserve">想吃肉多一點的熱炒</t>
  </si>
  <si>
    <t xml:space="preserve">沒什麼時間，蒸的比較方便</t>
  </si>
  <si>
    <t xml:space="preserve">長輩血糖高，不要甜的</t>
  </si>
  <si>
    <t xml:space="preserve">多一點蔬菜，再來個湯</t>
  </si>
  <si>
    <t xml:space="preserve">隨便煮都可以</t>
  </si>
  <si>
    <t xml:space="preserve">steamed egg and stir-fried greens</t>
  </si>
  <si>
    <t xml:space="preserve">steam, stir, more_veg</t>
  </si>
  <si>
    <t xml:space="preserve">need dinner ready fast, soup is fine</t>
  </si>
  <si>
    <t xml:space="preserve">more veggies, less meat</t>
  </si>
  <si>
    <t xml:space="preserve">no sugar in anything please</t>
  </si>
  <si>
    <t xml:space="preserve">meat lovers tonight</t>
  </si>
  <si>
    <t xml:space="preserve">just the usual</t>
  </si>
  <si>
    <t xml:space="preserve">blanched prawns and steamed fish</t>
  </si>
  <si>
    <t xml:space="preserve">好肚餓，快啲有得食就得</t>
  </si>
  <si>
    <t xml:space="preserve">想食啲鑊氣小炒，多啲肉</t>
  </si>
  <si>
    <t xml:space="preserve">湯水唔好甜</t>
  </si>
  <si>
    <t xml:space="preserve">Query</t>
  </si>
  <si>
    <t xml:space="preserve">Target dish</t>
  </si>
  <si>
    <t xml:space="preserve">Rank of target: character TF-IDF (no model)</t>
  </si>
  <si>
    <t xml:space="preserve">Rank of target: BAAI/bge-small-zh-v1.5</t>
  </si>
  <si>
    <t xml:space="preserve">Rank of target: shibing624/text2vec-base-chinese</t>
  </si>
  <si>
    <t xml:space="preserve">Rank of target: sentence-transformers/paraphrase-multilingual-MiniLM-L12-v2</t>
  </si>
  <si>
    <t xml:space="preserve">青椒鹹豬肉可以點整</t>
  </si>
  <si>
    <t xml:space="preserve">青椒炒鹹豬肉</t>
  </si>
  <si>
    <t xml:space="preserve">想要一道炒嘅肉，材料有鹹豬肉</t>
  </si>
  <si>
    <t xml:space="preserve">街市買到靚紅蘿蔔，想快炒</t>
  </si>
  <si>
    <t xml:space="preserve">紅蘿蔔馬鈴薯炒雞軟骨</t>
  </si>
  <si>
    <t xml:space="preserve">想要一道炒嘅肉類，材料有醃製雞軟骨</t>
  </si>
  <si>
    <t xml:space="preserve">辣椒青椒可以點整</t>
  </si>
  <si>
    <t xml:space="preserve">炒櫻桃鴨胸</t>
  </si>
  <si>
    <t xml:space="preserve">想要一道快炒嘅肉類，材料有櫻桃鴨胸</t>
  </si>
  <si>
    <t xml:space="preserve">街市買到靚水煮五花肉，想炒</t>
  </si>
  <si>
    <t xml:space="preserve">十三香炒回鍋肉</t>
  </si>
  <si>
    <t xml:space="preserve">想要一道小炒嘅肉，材料有鮮豆包</t>
  </si>
  <si>
    <t xml:space="preserve">德國豬腳蒜苗可以點整</t>
  </si>
  <si>
    <t xml:space="preserve">德國豬腳香炒大蒜</t>
  </si>
  <si>
    <t xml:space="preserve">想要一道快炒嘅肉，材料有德國豬腳</t>
  </si>
  <si>
    <t xml:space="preserve">雪櫃得返紅葱頭，點算</t>
  </si>
  <si>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韓式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辣炒排骨 🌶️🌶️🌶️</t>
    </r>
  </si>
  <si>
    <t xml:space="preserve">紅葱末排骨可以點整</t>
  </si>
  <si>
    <t xml:space="preserve">街市買到靚茄子，想炒</t>
  </si>
  <si>
    <t xml:space="preserve">茄子炒肉末</t>
  </si>
  <si>
    <t xml:space="preserve">豬絞肉茄子可以點整</t>
  </si>
  <si>
    <t xml:space="preserve">街市買到靚開水，想快炒</t>
  </si>
  <si>
    <r>
      <rPr>
        <sz val="11"/>
        <rFont val="Noto Sans CJK SC"/>
        <family val="2"/>
      </rPr>
      <t xml:space="preserve">青椒炒肉絲 </t>
    </r>
    <r>
      <rPr>
        <sz val="11"/>
        <rFont val="Arial"/>
        <family val="0"/>
        <charset val="1"/>
      </rPr>
      <t xml:space="preserve">- </t>
    </r>
    <r>
      <rPr>
        <sz val="11"/>
        <rFont val="Noto Sans CJK SC"/>
        <family val="2"/>
      </rPr>
      <t xml:space="preserve">家常料理</t>
    </r>
  </si>
  <si>
    <t xml:space="preserve">雪櫃得返豬里肌絞肉，點算</t>
  </si>
  <si>
    <t xml:space="preserve">想要一道清蒸嘅肉類，材料有山藥泥</t>
  </si>
  <si>
    <t xml:space="preserve">清蒸山藥｜三鮮肉丸</t>
  </si>
  <si>
    <t xml:space="preserve">芹菜粒豬絞肉可以點整</t>
  </si>
  <si>
    <t xml:space="preserve">想要一道快炒嘅肉類，材料有金針菇</t>
  </si>
  <si>
    <t xml:space="preserve">韭菜肉片炒金針菇</t>
  </si>
  <si>
    <t xml:space="preserve">雪櫃得返金針菇，點算</t>
  </si>
  <si>
    <t xml:space="preserve">豆乾蒜苗可以點整</t>
  </si>
  <si>
    <t xml:space="preserve">蒜苗炒鴨賞</t>
  </si>
  <si>
    <t xml:space="preserve">想要一道炒嘅肉類，材料有蒜苗</t>
  </si>
  <si>
    <t xml:space="preserve">街市買到靚洋蔥，想水煮</t>
  </si>
  <si>
    <t xml:space="preserve">『涼拌皮蛋』－清爽、酸辣、開胃。</t>
  </si>
  <si>
    <t xml:space="preserve">皮蛋洋蔥可以點整</t>
  </si>
  <si>
    <t xml:space="preserve">想要一道炒嘅肉，材料有高麗菜乾</t>
  </si>
  <si>
    <t xml:space="preserve">豬肉辣炒高麗菜乾</t>
  </si>
  <si>
    <t xml:space="preserve">街市買到靚辣椒，想快炒</t>
  </si>
  <si>
    <t xml:space="preserve">街市買到靚雞蛋，想炒</t>
  </si>
  <si>
    <t xml:space="preserve">奶油蕃茄炒蛋</t>
  </si>
  <si>
    <t xml:space="preserve">想要一道快炒嘅肉類，材料有雞蛋</t>
  </si>
  <si>
    <t xml:space="preserve">碗或盤子小黃瓜可以點整</t>
  </si>
  <si>
    <t xml:space="preserve">涼拌小黃瓜雞絲</t>
  </si>
  <si>
    <t xml:space="preserve">雪櫃得返碗或盤子，點算</t>
  </si>
  <si>
    <t xml:space="preserve">雞胸肉片毛豆仁可以點整</t>
  </si>
  <si>
    <t xml:space="preserve">雞胸肉豆腐蒸蛋</t>
  </si>
  <si>
    <t xml:space="preserve">雪櫃得返毛豆仁，點算</t>
  </si>
  <si>
    <t xml:space="preserve">想要一道快炒嘅肉類，材料有胡蘿蔔</t>
  </si>
  <si>
    <t xml:space="preserve">蘿蔓炒肉末</t>
  </si>
  <si>
    <t xml:space="preserve">街市買到靚豬絞肉，想小炒</t>
  </si>
  <si>
    <t xml:space="preserve">街市買到靚五花肉條，想小炒</t>
  </si>
  <si>
    <t xml:space="preserve">竹篙筍炒肉絲</t>
  </si>
  <si>
    <t xml:space="preserve">想要一道小炒嘅肉，材料有太白粉</t>
  </si>
  <si>
    <t xml:space="preserve">辣椒牛三寶可以點整</t>
  </si>
  <si>
    <t xml:space="preserve">好市多牛三寶炒蒜苗</t>
  </si>
  <si>
    <t xml:space="preserve">想要一道快炒嘅肉類，材料有牛三寶</t>
  </si>
  <si>
    <r>
      <rPr>
        <sz val="11"/>
        <rFont val="Noto Sans CJK SC"/>
        <family val="2"/>
      </rPr>
      <t xml:space="preserve">街市買到靚</t>
    </r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菜心，想炒</t>
    </r>
  </si>
  <si>
    <t xml:space="preserve">鹹豬肉炒菜心</t>
  </si>
  <si>
    <r>
      <rPr>
        <sz val="11"/>
        <rFont val="Arial"/>
        <family val="0"/>
        <charset val="1"/>
      </rPr>
      <t xml:space="preserve">A</t>
    </r>
    <r>
      <rPr>
        <sz val="11"/>
        <rFont val="Noto Sans CJK SC"/>
        <family val="2"/>
      </rPr>
      <t xml:space="preserve">菜心鹹豬肉可以點整</t>
    </r>
  </si>
  <si>
    <t xml:space="preserve">想要一道快炒嘅肉類，材料有雞胸</t>
  </si>
  <si>
    <t xml:space="preserve">甜豆炒雞胸</t>
  </si>
  <si>
    <t xml:space="preserve">紅蘿蔔甜豆可以點整</t>
  </si>
  <si>
    <t xml:space="preserve">街市買到靚新鮮香菇，想快炒</t>
  </si>
  <si>
    <t xml:space="preserve">香菇肉末炒龍鬚菜</t>
  </si>
  <si>
    <t xml:space="preserve">新鮮香菇絞肉可以點整</t>
  </si>
  <si>
    <t xml:space="preserve">街市買到靚白芝麻，想炒</t>
  </si>
  <si>
    <t xml:space="preserve">韓式泡菜炒黑毛豬</t>
  </si>
  <si>
    <t xml:space="preserve">想要一道快炒嘅肉，材料有韓式辣椒粉</t>
  </si>
  <si>
    <t xml:space="preserve">想要一道快炒嘅肉，材料有爆香麻辣雞肝</t>
  </si>
  <si>
    <t xml:space="preserve">爆香麻辣雞肝</t>
  </si>
  <si>
    <t xml:space="preserve">雪櫃得返爆香麻辣雞肝，點算</t>
  </si>
  <si>
    <t xml:space="preserve">雪櫃得返臘肉，點算</t>
  </si>
  <si>
    <t xml:space="preserve">蒜苗炒臘肉</t>
  </si>
  <si>
    <t xml:space="preserve">街市買到靚臘肉，想小炒</t>
  </si>
  <si>
    <t xml:space="preserve">街市買到靚不會失敗的蒸蛋，想蒸</t>
  </si>
  <si>
    <t xml:space="preserve">不會失敗的蒸蛋</t>
  </si>
  <si>
    <t xml:space="preserve">雪櫃得返不會失敗的蒸蛋，點算</t>
  </si>
  <si>
    <t xml:space="preserve">肉絲紅蘿蔔可以點整</t>
  </si>
  <si>
    <t xml:space="preserve">紅蘿蔔炒肉絲</t>
  </si>
  <si>
    <t xml:space="preserve">想要一道炒嘅肉，材料有肉絲</t>
  </si>
  <si>
    <t xml:space="preserve">芥藍菜鹹豬肉可以點整</t>
  </si>
  <si>
    <t xml:space="preserve">芥藍菜炒鹹豬肉</t>
  </si>
  <si>
    <t xml:space="preserve">雪櫃得返鹹豬肉，點算</t>
  </si>
  <si>
    <t xml:space="preserve">香菜辣椒可以點整</t>
  </si>
  <si>
    <t xml:space="preserve">白切雞</t>
  </si>
  <si>
    <t xml:space="preserve">想要一道灼嘅肉，材料有去骨雞腿肉</t>
  </si>
  <si>
    <t xml:space="preserve">想要一道小炒嘅肉，材料有鹹豬肉</t>
  </si>
  <si>
    <t xml:space="preserve">洋蔥炒鹹豬肉</t>
  </si>
  <si>
    <t xml:space="preserve">街市買到靚鹹豬肉，想快炒</t>
  </si>
  <si>
    <t xml:space="preserve">街市買到靚樹子，想蒸嘅</t>
  </si>
  <si>
    <t xml:space="preserve">樹子蒸魚（電鍋）</t>
  </si>
  <si>
    <t xml:space="preserve">新鮮魚樹子汁可以點整</t>
  </si>
  <si>
    <t xml:space="preserve">街市買到靚菠菜，想炒</t>
  </si>
  <si>
    <t xml:space="preserve">菠菜炒鴻禧菇</t>
  </si>
  <si>
    <t xml:space="preserve">雪櫃得返鴻禧菇，點算</t>
  </si>
  <si>
    <t xml:space="preserve">街市買到靚中華嫩豆腐，想清蒸</t>
  </si>
  <si>
    <r>
      <rPr>
        <sz val="11"/>
        <rFont val="Noto Sans CJK SC"/>
        <family val="2"/>
      </rPr>
      <t xml:space="preserve">【 蒜蓉蒸蝦 】－小家庭年菜企劃</t>
    </r>
    <r>
      <rPr>
        <sz val="11"/>
        <rFont val="Arial"/>
        <family val="0"/>
        <charset val="1"/>
      </rPr>
      <t xml:space="preserve">(4)</t>
    </r>
  </si>
  <si>
    <t xml:space="preserve">想要一道清蒸嘅海產，材料有大蝦</t>
  </si>
  <si>
    <t xml:space="preserve">雪櫃得返魚皮，點算</t>
  </si>
  <si>
    <t xml:space="preserve">涼拌魚皮</t>
  </si>
  <si>
    <t xml:space="preserve">想要一道水煮嘅海鮮，材料有香菜</t>
  </si>
  <si>
    <t xml:space="preserve">雪櫃得返石斑魚，點算</t>
  </si>
  <si>
    <t xml:space="preserve">清蒸石斑魚</t>
  </si>
  <si>
    <t xml:space="preserve">想要一道清蒸嘅海產，材料有味霖</t>
  </si>
  <si>
    <t xml:space="preserve">街市買到靚蝦仁，想快炒</t>
  </si>
  <si>
    <t xml:space="preserve">白花椰菜炒蝦仁</t>
  </si>
  <si>
    <t xml:space="preserve">雪櫃得返白花椰菜，點算</t>
  </si>
  <si>
    <t xml:space="preserve">蝦仁毛豆可以點整</t>
  </si>
  <si>
    <t xml:space="preserve">蝦仁炒毛豆</t>
  </si>
  <si>
    <t xml:space="preserve">想要一道小炒嘅海產，材料有毛豆</t>
  </si>
  <si>
    <t xml:space="preserve">雪櫃得返毛肚，點算</t>
  </si>
  <si>
    <t xml:space="preserve">洋蔥毛肚炒蒜苗</t>
  </si>
  <si>
    <t xml:space="preserve">街市買到靚洋蔥，想小炒</t>
  </si>
  <si>
    <t xml:space="preserve">雪櫃得返花枝，點算</t>
  </si>
  <si>
    <t xml:space="preserve">芹菜炒花枝</t>
  </si>
  <si>
    <t xml:space="preserve">想要一道蒸嘅海產，材料有鹹水吳郭魚</t>
  </si>
  <si>
    <r>
      <rPr>
        <sz val="11"/>
        <rFont val="Noto Sans CJK SC"/>
        <family val="2"/>
      </rPr>
      <t xml:space="preserve">懶人蒸爐料理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鳳梨醬蒸魚</t>
    </r>
  </si>
  <si>
    <t xml:space="preserve">鹹水吳郭魚鹹水吳郭魚可以點整</t>
  </si>
  <si>
    <t xml:space="preserve">冬粉冬粉可以點整</t>
  </si>
  <si>
    <t xml:space="preserve">蒜蓉蒸蝦</t>
  </si>
  <si>
    <t xml:space="preserve">想要一道蒸嘅海鮮，材料有冬粉</t>
  </si>
  <si>
    <t xml:space="preserve">街市買到靚芹菜，想蒸嘅</t>
  </si>
  <si>
    <t xml:space="preserve">蓮藕片蒸鱸魚</t>
  </si>
  <si>
    <t xml:space="preserve">雪櫃得返蓮藕，點算</t>
  </si>
  <si>
    <t xml:space="preserve">想要一道炒嘅海產，材料有花椰菜</t>
  </si>
  <si>
    <t xml:space="preserve">蒜香鮮蝦炒彩蔬</t>
  </si>
  <si>
    <t xml:space="preserve">雪櫃得返花椰菜，點算</t>
  </si>
  <si>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可以點整</t>
    </r>
  </si>
  <si>
    <r>
      <rPr>
        <sz val="11"/>
        <rFont val="Noto Sans CJK SC"/>
        <family val="2"/>
      </rPr>
      <t xml:space="preserve">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</si>
  <si>
    <r>
      <rPr>
        <sz val="11"/>
        <rFont val="Noto Sans CJK SC"/>
        <family val="2"/>
      </rPr>
      <t xml:space="preserve">雪櫃得返薑絲青江菜炒花枝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快速料理</t>
    </r>
    <r>
      <rPr>
        <sz val="11"/>
        <rFont val="Arial"/>
        <family val="0"/>
        <charset val="1"/>
      </rPr>
      <t xml:space="preserve">)</t>
    </r>
    <r>
      <rPr>
        <sz val="11"/>
        <rFont val="Noto Sans CJK SC"/>
        <family val="2"/>
      </rPr>
      <t xml:space="preserve">，點算</t>
    </r>
  </si>
  <si>
    <t xml:space="preserve">街市買到靚嫩豆腐，想蒸嘅</t>
  </si>
  <si>
    <t xml:space="preserve">蝦仁蒸蛋豆腐</t>
  </si>
  <si>
    <t xml:space="preserve">想要一道蒸嘅海產，材料有柴魚粉</t>
  </si>
  <si>
    <t xml:space="preserve">雪櫃得返紅蘿蔔，點算</t>
  </si>
  <si>
    <t xml:space="preserve">泰式炒粿條</t>
  </si>
  <si>
    <t xml:space="preserve">街市買到靚豆芽，想快炒</t>
  </si>
  <si>
    <t xml:space="preserve">飛魚卵香腸飛魚卵香腸可以點整</t>
  </si>
  <si>
    <t xml:space="preserve">炒飛魚卵香腸</t>
  </si>
  <si>
    <t xml:space="preserve">雪櫃得返飛魚卵香腸，點算</t>
  </si>
  <si>
    <t xml:space="preserve">義式香料粉鮑魚清肉可以點整</t>
  </si>
  <si>
    <t xml:space="preserve">蒜炒奶油鮑魚【鮑魚這樣煮超好吃】</t>
  </si>
  <si>
    <t xml:space="preserve">街市買到靚義式香料粉，想快炒</t>
  </si>
  <si>
    <t xml:space="preserve">雪櫃得返烏格魚，點算</t>
  </si>
  <si>
    <t xml:space="preserve">清蒸烏格魚（黑鯛）</t>
  </si>
  <si>
    <t xml:space="preserve">想要一道蒸嘅海鮮，材料有辣椒絲</t>
  </si>
  <si>
    <t xml:space="preserve">想要一道小炒嘅海鮮，材料有高麗菜</t>
  </si>
  <si>
    <t xml:space="preserve">古早味鯖魚罐頭炒高麗菜</t>
  </si>
  <si>
    <t xml:space="preserve">白芝麻鯖魚罐頭可以點整</t>
  </si>
  <si>
    <t xml:space="preserve">紅棗紅棗可以點整</t>
  </si>
  <si>
    <t xml:space="preserve">免炒無油無糖自製棗泥</t>
  </si>
  <si>
    <t xml:space="preserve">雪櫃得返紅棗，點算</t>
  </si>
  <si>
    <t xml:space="preserve">小黃瓜火腿片可以點整</t>
  </si>
  <si>
    <t xml:space="preserve">小黃瓜炒杏鮑菇及火腿片</t>
  </si>
  <si>
    <t xml:space="preserve">雪櫃得返杏鮑菇，點算</t>
  </si>
  <si>
    <t xml:space="preserve">黑木耳胡蘿蔔素可以點整</t>
  </si>
  <si>
    <r>
      <rPr>
        <sz val="11"/>
        <rFont val="Noto Sans CJK SC"/>
        <family val="2"/>
      </rPr>
      <t xml:space="preserve">家常小菜</t>
    </r>
    <r>
      <rPr>
        <sz val="11"/>
        <rFont val="Arial"/>
        <family val="0"/>
        <charset val="1"/>
      </rPr>
      <t xml:space="preserve">-</t>
    </r>
    <r>
      <rPr>
        <sz val="11"/>
        <rFont val="Noto Sans CJK SC"/>
        <family val="2"/>
      </rPr>
      <t xml:space="preserve">涼拌干絲</t>
    </r>
  </si>
  <si>
    <t xml:space="preserve">想要一道灼嘅蔬菜，材料有干絲</t>
  </si>
  <si>
    <t xml:space="preserve">雪櫃得返櫛瓜，點算</t>
  </si>
  <si>
    <t xml:space="preserve">義式香料清炒櫛瓜</t>
  </si>
  <si>
    <t xml:space="preserve">想要一道小炒嘅蔬菜，材料有櫛瓜</t>
  </si>
  <si>
    <t xml:space="preserve">街市買到靚姜片，想蒸嘅</t>
  </si>
  <si>
    <t xml:space="preserve">百合蒸东星斑</t>
  </si>
  <si>
    <t xml:space="preserve">雪櫃得返姜片，點算</t>
  </si>
  <si>
    <t xml:space="preserve">青椒豆乾可以點整</t>
  </si>
  <si>
    <t xml:space="preserve">青椒醬炒豆乾</t>
  </si>
  <si>
    <t xml:space="preserve">雪櫃得返青椒，點算</t>
  </si>
  <si>
    <t xml:space="preserve">紅辣椒杏鮑菇可以點整</t>
  </si>
  <si>
    <t xml:space="preserve">【山藥糯米椒炒杏鮑菇】</t>
  </si>
  <si>
    <t xml:space="preserve">雪櫃得返紅辣椒，點算</t>
  </si>
  <si>
    <t xml:space="preserve">想要一道炒嘅菜，材料有角螺</t>
  </si>
  <si>
    <t xml:space="preserve">紅蘿蔔炒豆皮角螺</t>
  </si>
  <si>
    <t xml:space="preserve">雪櫃得返角螺，點算</t>
  </si>
  <si>
    <t xml:space="preserve">小黃瓜小黃瓜可以點整</t>
  </si>
  <si>
    <t xml:space="preserve">清炒小黃瓜</t>
  </si>
  <si>
    <t xml:space="preserve">想要一道快炒嘅蔬菜，材料有小黃瓜</t>
  </si>
  <si>
    <t xml:space="preserve">木耳萵筍可以點整</t>
  </si>
  <si>
    <r>
      <rPr>
        <sz val="11"/>
        <rFont val="Noto Sans CJK SC"/>
        <family val="2"/>
      </rPr>
      <t xml:space="preserve">炒萵筍</t>
    </r>
    <r>
      <rPr>
        <sz val="11"/>
        <rFont val="Arial"/>
        <family val="0"/>
        <charset val="1"/>
      </rPr>
      <t xml:space="preserve">(</t>
    </r>
    <r>
      <rPr>
        <sz val="11"/>
        <rFont val="Noto Sans CJK SC"/>
        <family val="2"/>
      </rPr>
      <t xml:space="preserve">五彩</t>
    </r>
    <r>
      <rPr>
        <sz val="11"/>
        <rFont val="Arial"/>
        <family val="0"/>
        <charset val="1"/>
      </rPr>
      <t xml:space="preserve">)</t>
    </r>
  </si>
  <si>
    <t xml:space="preserve">想要一道快炒嘅蔬菜，材料有各種彩椒</t>
  </si>
  <si>
    <t xml:space="preserve">想要一道小炒嘅蔬菜，材料有小黃瓜</t>
  </si>
  <si>
    <t xml:space="preserve">小黃瓜炒杏鮑菇</t>
  </si>
  <si>
    <t xml:space="preserve">杏鮑菇小黃瓜可以點整</t>
  </si>
  <si>
    <t xml:space="preserve">雪櫃得返辣椒，點算</t>
  </si>
  <si>
    <t xml:space="preserve">炒結頭菜乾</t>
  </si>
  <si>
    <t xml:space="preserve">辣椒結頭菜乾可以點整</t>
  </si>
  <si>
    <t xml:space="preserve">山藥炒五香豆干🤤</t>
  </si>
  <si>
    <t xml:space="preserve">想要一道小炒嘅蔬菜，材料有山藥</t>
  </si>
  <si>
    <t xml:space="preserve">想要一道水煮嘅菜，材料有紅蘿蔔</t>
  </si>
  <si>
    <t xml:space="preserve">涼拌干絲</t>
  </si>
  <si>
    <t xml:space="preserve">街市買到靚紅蘿蔔，想水煮</t>
  </si>
  <si>
    <t xml:space="preserve">街市買到靚小白菜，想小炒</t>
  </si>
  <si>
    <t xml:space="preserve">素食版的粄條😋 蔬炒粄條🤤</t>
  </si>
  <si>
    <t xml:space="preserve">紅蘿蔔小番茄可以點整</t>
  </si>
  <si>
    <t xml:space="preserve">高麗菜撕小片小黃瓜切片可以點整</t>
  </si>
  <si>
    <t xml:space="preserve">薑絲高麗菜炒小黃瓜</t>
  </si>
  <si>
    <t xml:space="preserve">雪櫃得返高麗菜撕小片，點算</t>
  </si>
  <si>
    <t xml:space="preserve">花生花生可以點整</t>
  </si>
  <si>
    <t xml:space="preserve">鹽炒花生</t>
  </si>
  <si>
    <t xml:space="preserve">街市買到靚花生，想小炒</t>
  </si>
  <si>
    <t xml:space="preserve">想要一道快炒嘅蔬菜，材料有生花生</t>
  </si>
  <si>
    <t xml:space="preserve">炒花生糖</t>
  </si>
  <si>
    <t xml:space="preserve">街市買到靚白芝麻，想快炒</t>
  </si>
  <si>
    <t xml:space="preserve">四季豆辣椒可以點整</t>
  </si>
  <si>
    <t xml:space="preserve">乾爆剁椒四季豆</t>
  </si>
  <si>
    <t xml:space="preserve">黃椒玉米筍可以點整</t>
  </si>
  <si>
    <t xml:space="preserve">義式香料炒時蔬</t>
  </si>
  <si>
    <t xml:space="preserve">街市買到靚紅椒，想快炒</t>
  </si>
  <si>
    <t xml:space="preserve">街市買到靚鴻禧菇，想炒</t>
  </si>
  <si>
    <t xml:space="preserve">甜豌豆炒菇</t>
  </si>
  <si>
    <t xml:space="preserve">雪櫃得返花生，點算</t>
  </si>
  <si>
    <t xml:space="preserve">想要一道白灼嘅菜，材料有味醂</t>
  </si>
  <si>
    <t xml:space="preserve">蒜味涼拌茄子</t>
  </si>
  <si>
    <t xml:space="preserve">街市買到靚香菜末，想灼</t>
  </si>
  <si>
    <t xml:space="preserve">想要一道小炒嘅蔬菜，材料有豆腐乳與汁</t>
  </si>
  <si>
    <t xml:space="preserve">豆腐乳豆豉炒菜心</t>
  </si>
  <si>
    <t xml:space="preserve">白芝麻豆腐乳與汁可以點整</t>
  </si>
  <si>
    <t xml:space="preserve">想要一道小炒嘅菜，材料有黑木耳</t>
  </si>
  <si>
    <t xml:space="preserve">芹菜小黃瓜炒豆腐</t>
  </si>
  <si>
    <t xml:space="preserve">雪櫃得返黑木耳，點算</t>
  </si>
  <si>
    <t xml:space="preserve">辣椒小黃瓜可以點整</t>
  </si>
  <si>
    <r>
      <rPr>
        <sz val="11"/>
        <rFont val="Noto Sans CJK SC"/>
        <family val="2"/>
      </rPr>
      <t xml:space="preserve">『涼拌海蜇皮』－年菜經典冷盤</t>
    </r>
    <r>
      <rPr>
        <sz val="11"/>
        <rFont val="Arial"/>
        <family val="0"/>
        <charset val="1"/>
      </rPr>
      <t xml:space="preserve">(2)</t>
    </r>
  </si>
  <si>
    <t xml:space="preserve">街市買到靚小黃瓜，想水煮</t>
  </si>
  <si>
    <t xml:space="preserve">街市買到靚菜心，想小炒</t>
  </si>
  <si>
    <t xml:space="preserve">蒜炒菜心</t>
  </si>
  <si>
    <t xml:space="preserve">想要一道小炒嘅菜，材料有菜心</t>
  </si>
  <si>
    <t xml:space="preserve">想要一道小炒嘅蔬菜，材料有辣椒</t>
  </si>
  <si>
    <t xml:space="preserve">黑胡椒炒鳳螺</t>
  </si>
  <si>
    <t xml:space="preserve">街市買到靚辣椒，想炒</t>
  </si>
  <si>
    <t xml:space="preserve">街市買到靚小芥菜，想炒</t>
  </si>
  <si>
    <t xml:space="preserve">清炒小芥菜</t>
  </si>
  <si>
    <t xml:space="preserve">想要一道快炒嘅菜，材料有小芥菜</t>
  </si>
  <si>
    <t xml:space="preserve">雪櫃得返萵筍，點算</t>
  </si>
  <si>
    <r>
      <rPr>
        <sz val="11"/>
        <rFont val="Noto Sans CJK SC"/>
        <family val="2"/>
      </rPr>
      <t xml:space="preserve">涼拌萵筍 </t>
    </r>
    <r>
      <rPr>
        <sz val="11"/>
        <rFont val="Arial"/>
        <family val="0"/>
        <charset val="1"/>
      </rPr>
      <t xml:space="preserve">( A</t>
    </r>
    <r>
      <rPr>
        <sz val="11"/>
        <rFont val="Noto Sans CJK SC"/>
        <family val="2"/>
      </rPr>
      <t xml:space="preserve">菜心 </t>
    </r>
    <r>
      <rPr>
        <sz val="11"/>
        <rFont val="Arial"/>
        <family val="0"/>
        <charset val="1"/>
      </rPr>
      <t xml:space="preserve">)</t>
    </r>
  </si>
  <si>
    <t xml:space="preserve">想要一道灼嘅菜，材料有辣椒</t>
  </si>
  <si>
    <t xml:space="preserve">想要一道白灼嘅菜，材料有萵筍</t>
  </si>
  <si>
    <r>
      <rPr>
        <sz val="11"/>
        <rFont val="Noto Sans CJK SC"/>
        <family val="2"/>
      </rPr>
      <t xml:space="preserve">《料理簡單做》涼拌萵筍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菜心</t>
    </r>
  </si>
  <si>
    <t xml:space="preserve">街市買到靚芹菜，想炒</t>
  </si>
  <si>
    <t xml:space="preserve">芹菜鮮蔬炒豆乾</t>
  </si>
  <si>
    <t xml:space="preserve">想要一道小炒嘅蔬菜，材料有杏鮑菇</t>
  </si>
  <si>
    <t xml:space="preserve">街市買到靚紅蘿蔔絲，想水煮</t>
  </si>
  <si>
    <t xml:space="preserve">涼拌櫛瓜</t>
  </si>
  <si>
    <t xml:space="preserve">雪櫃得返紅蘿蔔絲，點算</t>
  </si>
  <si>
    <t xml:space="preserve">雪櫃得返高麗菜，點算</t>
  </si>
  <si>
    <t xml:space="preserve">涼拌高麗菜絲</t>
  </si>
  <si>
    <t xml:space="preserve">街市買到靚高麗菜，想水煮</t>
  </si>
  <si>
    <t xml:space="preserve">想要一道小炒嘅蔬菜，材料有小白菜</t>
  </si>
  <si>
    <r>
      <rPr>
        <sz val="11"/>
        <rFont val="Noto Sans CJK SC"/>
        <family val="2"/>
      </rPr>
      <t xml:space="preserve">蒜炒小白菜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快炒</t>
    </r>
    <r>
      <rPr>
        <sz val="11"/>
        <rFont val="Arial"/>
        <family val="0"/>
        <charset val="1"/>
      </rPr>
      <t xml:space="preserve">/5</t>
    </r>
    <r>
      <rPr>
        <sz val="11"/>
        <rFont val="Noto Sans CJK SC"/>
        <family val="2"/>
      </rPr>
      <t xml:space="preserve">分鐘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簡單快速</t>
    </r>
  </si>
  <si>
    <t xml:space="preserve">街市買到靚小白菜，想炒</t>
  </si>
  <si>
    <t xml:space="preserve">街市買到靚鮮蚵仔，想湯</t>
  </si>
  <si>
    <t xml:space="preserve">鹹菜鮮蚵蛤蜊湯</t>
  </si>
  <si>
    <t xml:space="preserve">想要一道滾湯嘅湯水，材料有蛤蜊</t>
  </si>
  <si>
    <t xml:space="preserve">想要一道湯嘅湯，材料有木耳</t>
  </si>
  <si>
    <t xml:space="preserve">酸辣湯</t>
  </si>
  <si>
    <t xml:space="preserve">街市買到靚木耳，想湯</t>
  </si>
  <si>
    <t xml:space="preserve">乾香菇排骨可以點整</t>
  </si>
  <si>
    <t xml:space="preserve">排骨山藥木鱉果湯</t>
  </si>
  <si>
    <t xml:space="preserve">雪櫃得返山藥，點算</t>
  </si>
  <si>
    <t xml:space="preserve">街市買到靚香菇，想湯</t>
  </si>
  <si>
    <t xml:space="preserve">鹹口味七彩琉璃湯圓</t>
  </si>
  <si>
    <t xml:space="preserve">茼萵菜七彩琉璃湯圓可以點整</t>
  </si>
  <si>
    <t xml:space="preserve">街市買到靚茼蒿菜，想煲湯</t>
  </si>
  <si>
    <r>
      <rPr>
        <sz val="11"/>
        <rFont val="Noto Sans CJK SC"/>
        <family val="2"/>
      </rPr>
      <t xml:space="preserve">🍲懶人火鍋</t>
    </r>
    <r>
      <rPr>
        <sz val="11"/>
        <rFont val="Arial"/>
        <family val="0"/>
        <charset val="1"/>
      </rPr>
      <t xml:space="preserve">_</t>
    </r>
    <r>
      <rPr>
        <sz val="11"/>
        <rFont val="Noto Sans CJK SC"/>
        <family val="2"/>
      </rPr>
      <t xml:space="preserve">康寶極湯味日式高湯包</t>
    </r>
  </si>
  <si>
    <t xml:space="preserve">想要一道滾湯嘅湯水，材料有貢丸</t>
  </si>
  <si>
    <t xml:space="preserve">雪櫃得返大白菜，點算</t>
  </si>
  <si>
    <t xml:space="preserve">白菜蛋花湯</t>
  </si>
  <si>
    <t xml:space="preserve">街市買到靚大白菜，想滾湯</t>
  </si>
  <si>
    <t xml:space="preserve">芥菜紅蘿蔔可以點整</t>
  </si>
  <si>
    <t xml:space="preserve">榭黃芥菜羹｜立春節氣料理</t>
  </si>
  <si>
    <t xml:space="preserve">雪櫃得返芥菜，點算</t>
  </si>
  <si>
    <t xml:space="preserve">街市買到靚蛤蠣，想煲湯</t>
  </si>
  <si>
    <r>
      <rPr>
        <sz val="11"/>
        <rFont val="Noto Sans CJK SC"/>
        <family val="2"/>
      </rPr>
      <t xml:space="preserve">鹹菜蒜頭蛤蠣雞湯（電鍋</t>
    </r>
    <r>
      <rPr>
        <sz val="11"/>
        <rFont val="Arial"/>
        <family val="0"/>
        <charset val="1"/>
      </rPr>
      <t xml:space="preserve">/</t>
    </r>
    <r>
      <rPr>
        <sz val="11"/>
        <rFont val="Noto Sans CJK SC"/>
        <family val="2"/>
      </rPr>
      <t xml:space="preserve">一鍋到底）</t>
    </r>
  </si>
  <si>
    <t xml:space="preserve">雪櫃得返蛤蠣，點算</t>
  </si>
  <si>
    <t xml:space="preserve">想要一道滾湯嘅湯水，材料有雞腿塊</t>
  </si>
  <si>
    <r>
      <rPr>
        <sz val="11"/>
        <rFont val="Arial"/>
        <family val="0"/>
        <charset val="1"/>
      </rPr>
      <t xml:space="preserve">*</t>
    </r>
    <r>
      <rPr>
        <sz val="11"/>
        <rFont val="Noto Sans CJK SC"/>
        <family val="2"/>
      </rPr>
      <t xml:space="preserve">蔥薑蒜</t>
    </r>
    <r>
      <rPr>
        <sz val="11"/>
        <rFont val="Arial"/>
        <family val="0"/>
        <charset val="1"/>
      </rPr>
      <t xml:space="preserve">* </t>
    </r>
    <r>
      <rPr>
        <sz val="11"/>
        <rFont val="Noto Sans CJK SC"/>
        <family val="2"/>
      </rPr>
      <t xml:space="preserve">香菇雞湯</t>
    </r>
  </si>
  <si>
    <t xml:space="preserve">雪櫃得返洋蔥，點算</t>
  </si>
  <si>
    <t xml:space="preserve">街市買到靚山藥，想湯</t>
  </si>
  <si>
    <t xml:space="preserve">山藥排骨湯</t>
  </si>
  <si>
    <t xml:space="preserve">山藥玉米可以點整</t>
  </si>
  <si>
    <t xml:space="preserve">雪櫃得返乾香菇，點算</t>
  </si>
  <si>
    <t xml:space="preserve">瓜仔排骨湯</t>
  </si>
  <si>
    <t xml:space="preserve">想要一道煲湯嘅湯，材料有脆瓜</t>
  </si>
  <si>
    <t xml:space="preserve">豬血豬小腸可以點整</t>
  </si>
  <si>
    <t xml:space="preserve">酸菜豬血湯</t>
  </si>
  <si>
    <t xml:space="preserve">想要一道煲湯嘅湯，材料有豬血</t>
  </si>
  <si>
    <t xml:space="preserve">雪櫃得返蛤蜊，點算</t>
  </si>
  <si>
    <t xml:space="preserve">薑絲石斑魚蛤蜊湯</t>
  </si>
  <si>
    <t xml:space="preserve">蛤蜊石斑魚肉可以點整</t>
  </si>
  <si>
    <t xml:space="preserve">想要一道湯嘅湯，材料有紅蘿蔔</t>
  </si>
  <si>
    <t xml:space="preserve">清燉牛肉湯</t>
  </si>
  <si>
    <t xml:space="preserve">街市買到靚全聯牛肋條，想煲湯</t>
  </si>
  <si>
    <t xml:space="preserve">客家鹹湯圓的“炒料”</t>
  </si>
  <si>
    <t xml:space="preserve">想要一道湯嘅湯，材料有蒜苗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</si>
</sst>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0.000"/>
    <numFmt numFmtId="166" formatCode="0.00"/>
    <numFmt numFmtId="167" formatCode="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1"/>
      <name val="Arial"/>
      <family val="0"/>
      <charset val="1"/>
    </font>
    <font>
      <b val="true"/>
      <sz val="12"/>
      <name val="Arial"/>
      <family val="0"/>
      <charset val="1"/>
    </font>
    <font>
      <b val="true"/>
      <sz val="12"/>
      <name val="Noto Sans CJK SC"/>
      <family val="2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name val="Noto Sans CJK SC"/>
      <family val="2"/>
    </font>
  </fonts>
  <fills count="5">
    <fill>
      <patternFill patternType="none"/>
    </fill>
    <fill>
      <patternFill patternType="gray125"/>
    </fill>
    <fill>
      <patternFill patternType="solid">
        <fgColor rgb="FF1F4D3A"/>
        <bgColor rgb="FF333300"/>
      </patternFill>
    </fill>
    <fill>
      <patternFill patternType="solid">
        <fgColor rgb="FFFFF4D6"/>
        <bgColor rgb="FFE3F2D0"/>
      </patternFill>
    </fill>
    <fill>
      <patternFill patternType="solid">
        <fgColor rgb="FFE3F2D0"/>
        <bgColor rgb="FFFFF4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4D6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3F2D0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F4D3A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C1:N4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2"/>
    <col collapsed="false" customWidth="true" hidden="false" outlineLevel="0" max="3" min="3" style="0" width="12"/>
    <col collapsed="false" customWidth="true" hidden="false" outlineLevel="0" max="4" min="4" style="0" width="50"/>
    <col collapsed="false" customWidth="true" hidden="false" outlineLevel="0" max="5" min="5" style="0" width="30"/>
    <col collapsed="false" customWidth="true" hidden="false" outlineLevel="0" max="6" min="6" style="0" width="24"/>
    <col collapsed="false" customWidth="true" hidden="false" outlineLevel="0" max="7" min="7" style="0" width="18"/>
    <col collapsed="false" customWidth="true" hidden="false" outlineLevel="0" max="8" min="8" style="0" width="22"/>
    <col collapsed="false" customWidth="true" hidden="false" outlineLevel="0" max="10" min="9" style="0" width="14"/>
    <col collapsed="false" customWidth="true" hidden="false" outlineLevel="0" max="11" min="11" style="0" width="46"/>
    <col collapsed="false" customWidth="true" hidden="false" outlineLevel="0" max="12" min="12" style="0" width="70"/>
    <col collapsed="false" customWidth="true" hidden="false" outlineLevel="0" max="13" min="13" style="0" width="26"/>
    <col collapsed="false" customWidth="true" hidden="false" outlineLevel="0" max="14" min="14" style="0" width="28"/>
  </cols>
  <sheetData>
    <row r="1" customFormat="false" ht="19.4" hidden="false" customHeight="false" outlineLevel="0" collapsed="false">
      <c r="C1" s="1" t="s">
        <v>0</v>
      </c>
      <c r="D1" s="2" t="s">
        <v>1</v>
      </c>
    </row>
    <row r="2" customFormat="false" ht="15" hidden="false" customHeight="false" outlineLevel="0" collapsed="false">
      <c r="D2" s="3" t="s">
        <v>2</v>
      </c>
    </row>
    <row r="3" customFormat="false" ht="15" hidden="false" customHeight="false" outlineLevel="0" collapsed="false">
      <c r="D3" s="3" t="s">
        <v>3</v>
      </c>
    </row>
    <row r="4" customFormat="false" ht="15" hidden="false" customHeight="false" outlineLevel="0" collapsed="false">
      <c r="D4" s="3" t="s">
        <v>4</v>
      </c>
    </row>
    <row r="6" customFormat="false" ht="15" hidden="false" customHeight="false" outlineLevel="0" collapsed="false">
      <c r="C6" s="2" t="s">
        <v>5</v>
      </c>
      <c r="J6" s="2" t="s">
        <v>6</v>
      </c>
    </row>
    <row r="8" customFormat="false" ht="15" hidden="false" customHeight="false" outlineLevel="0" collapsed="false">
      <c r="C8" s="1" t="s">
        <v>7</v>
      </c>
      <c r="E8" s="1" t="s">
        <v>8</v>
      </c>
      <c r="J8" s="1" t="s">
        <v>9</v>
      </c>
    </row>
    <row r="9" customFormat="false" ht="15" hidden="false" customHeight="false" outlineLevel="0" collapsed="false">
      <c r="C9" s="1" t="s">
        <v>10</v>
      </c>
      <c r="E9" s="3" t="s">
        <v>11</v>
      </c>
      <c r="J9" s="3" t="s">
        <v>12</v>
      </c>
    </row>
    <row r="10" customFormat="false" ht="15" hidden="false" customHeight="false" outlineLevel="0" collapsed="false">
      <c r="E10" s="3" t="s">
        <v>13</v>
      </c>
      <c r="F10" s="3" t="s">
        <v>14</v>
      </c>
      <c r="K10" s="3" t="s">
        <v>15</v>
      </c>
    </row>
    <row r="11" customFormat="false" ht="15" hidden="false" customHeight="false" outlineLevel="0" collapsed="false">
      <c r="E11" s="3" t="s">
        <v>16</v>
      </c>
      <c r="F11" s="3" t="n">
        <v>3000</v>
      </c>
      <c r="K11" s="3" t="s">
        <v>17</v>
      </c>
    </row>
    <row r="12" customFormat="false" ht="15" hidden="false" customHeight="false" outlineLevel="0" collapsed="false">
      <c r="E12" s="3" t="s">
        <v>18</v>
      </c>
      <c r="F12" s="3" t="n">
        <v>600</v>
      </c>
    </row>
    <row r="13" customFormat="false" ht="15" hidden="false" customHeight="false" outlineLevel="0" collapsed="false">
      <c r="E13" s="3" t="s">
        <v>19</v>
      </c>
      <c r="F13" s="3" t="n">
        <f aca="false">COUNTA('P1 test'!A2:A109)</f>
        <v>108</v>
      </c>
      <c r="J13" s="1" t="s">
        <v>20</v>
      </c>
      <c r="M13" s="3" t="s">
        <v>21</v>
      </c>
    </row>
    <row r="14" customFormat="false" ht="33.75" hidden="false" customHeight="true" outlineLevel="0" collapsed="false">
      <c r="J14" s="4" t="s">
        <v>22</v>
      </c>
      <c r="K14" s="4" t="s">
        <v>23</v>
      </c>
      <c r="L14" s="4" t="s">
        <v>24</v>
      </c>
      <c r="M14" s="4" t="s">
        <v>25</v>
      </c>
      <c r="N14" s="4" t="s">
        <v>26</v>
      </c>
    </row>
    <row r="15" customFormat="false" ht="48" hidden="false" customHeight="true" outlineLevel="0" collapsed="false">
      <c r="D15" s="4" t="s">
        <v>27</v>
      </c>
      <c r="E15" s="4" t="s">
        <v>28</v>
      </c>
      <c r="F15" s="4" t="s">
        <v>29</v>
      </c>
      <c r="G15" s="4" t="s">
        <v>30</v>
      </c>
      <c r="H15" s="4" t="s">
        <v>31</v>
      </c>
      <c r="J15" s="5" t="s">
        <v>32</v>
      </c>
      <c r="K15" s="6" t="s">
        <v>33</v>
      </c>
      <c r="L15" s="6" t="s">
        <v>34</v>
      </c>
      <c r="M15" s="6" t="s">
        <v>35</v>
      </c>
      <c r="N15" s="7"/>
    </row>
    <row r="16" customFormat="false" ht="61.5" hidden="false" customHeight="true" outlineLevel="0" collapsed="false">
      <c r="C16" s="5" t="s">
        <v>36</v>
      </c>
      <c r="D16" s="5" t="s">
        <v>37</v>
      </c>
      <c r="E16" s="8" t="n">
        <v>0.5783</v>
      </c>
      <c r="F16" s="9" t="n">
        <v>0.89</v>
      </c>
      <c r="G16" s="10" t="n">
        <v>214.9</v>
      </c>
      <c r="H16" s="8" t="n">
        <v>0.8519</v>
      </c>
      <c r="J16" s="5" t="s">
        <v>38</v>
      </c>
      <c r="K16" s="6" t="s">
        <v>39</v>
      </c>
      <c r="L16" s="6" t="s">
        <v>40</v>
      </c>
      <c r="M16" s="6" t="s">
        <v>35</v>
      </c>
      <c r="N16" s="7"/>
    </row>
    <row r="17" customFormat="false" ht="61.5" hidden="false" customHeight="true" outlineLevel="0" collapsed="false">
      <c r="C17" s="11" t="s">
        <v>41</v>
      </c>
      <c r="D17" s="11" t="s">
        <v>42</v>
      </c>
      <c r="E17" s="12" t="n">
        <v>0.6417</v>
      </c>
      <c r="F17" s="13" t="n">
        <v>1.75</v>
      </c>
      <c r="G17" s="14" t="n">
        <v>395</v>
      </c>
      <c r="H17" s="12" t="n">
        <f aca="false">COUNTIF('P1 test'!D2:D109,"Correct")/COUNTA('P1 test'!D2:D109)</f>
        <v>0.888888888888889</v>
      </c>
      <c r="J17" s="5" t="s">
        <v>43</v>
      </c>
      <c r="K17" s="6" t="s">
        <v>44</v>
      </c>
      <c r="L17" s="6" t="s">
        <v>45</v>
      </c>
      <c r="M17" s="6" t="s">
        <v>35</v>
      </c>
      <c r="N17" s="7"/>
    </row>
    <row r="18" customFormat="false" ht="61.5" hidden="false" customHeight="true" outlineLevel="0" collapsed="false">
      <c r="C18" s="5" t="s">
        <v>46</v>
      </c>
      <c r="D18" s="5" t="s">
        <v>47</v>
      </c>
      <c r="E18" s="8" t="n">
        <v>0.6533</v>
      </c>
      <c r="F18" s="9" t="n">
        <v>4.34</v>
      </c>
      <c r="G18" s="10" t="n">
        <v>774.8</v>
      </c>
      <c r="H18" s="8" t="n">
        <v>0.8056</v>
      </c>
      <c r="J18" s="5" t="s">
        <v>48</v>
      </c>
      <c r="K18" s="6" t="s">
        <v>49</v>
      </c>
      <c r="L18" s="6" t="s">
        <v>50</v>
      </c>
      <c r="M18" s="6" t="s">
        <v>35</v>
      </c>
      <c r="N18" s="7"/>
    </row>
    <row r="19" customFormat="false" ht="61.5" hidden="false" customHeight="true" outlineLevel="0" collapsed="false">
      <c r="C19" s="5" t="s">
        <v>51</v>
      </c>
      <c r="D19" s="5" t="s">
        <v>52</v>
      </c>
      <c r="E19" s="8" t="n">
        <v>0.3983</v>
      </c>
      <c r="F19" s="5" t="s">
        <v>53</v>
      </c>
      <c r="G19" s="5" t="n">
        <v>0</v>
      </c>
      <c r="H19" s="8" t="n">
        <v>0.6481</v>
      </c>
      <c r="J19" s="5" t="s">
        <v>54</v>
      </c>
      <c r="K19" s="6" t="s">
        <v>55</v>
      </c>
      <c r="L19" s="6" t="s">
        <v>56</v>
      </c>
      <c r="M19" s="6" t="s">
        <v>35</v>
      </c>
      <c r="N19" s="7"/>
    </row>
    <row r="20" customFormat="false" ht="61.5" hidden="false" customHeight="true" outlineLevel="0" collapsed="false">
      <c r="C20" s="5" t="s">
        <v>51</v>
      </c>
      <c r="D20" s="5" t="s">
        <v>57</v>
      </c>
      <c r="E20" s="5" t="s">
        <v>58</v>
      </c>
      <c r="F20" s="9" t="n">
        <v>93.11</v>
      </c>
      <c r="G20" s="5" t="n">
        <v>0</v>
      </c>
      <c r="H20" s="8" t="n">
        <v>0.287</v>
      </c>
      <c r="J20" s="5" t="s">
        <v>59</v>
      </c>
      <c r="K20" s="6" t="s">
        <v>60</v>
      </c>
      <c r="L20" s="6" t="s">
        <v>61</v>
      </c>
      <c r="M20" s="6" t="s">
        <v>35</v>
      </c>
      <c r="N20" s="7"/>
    </row>
    <row r="21" customFormat="false" ht="61.5" hidden="false" customHeight="true" outlineLevel="0" collapsed="false">
      <c r="D21" s="15" t="s">
        <v>62</v>
      </c>
      <c r="E21" s="15"/>
      <c r="F21" s="15"/>
      <c r="G21" s="15"/>
      <c r="H21" s="15"/>
      <c r="J21" s="5" t="s">
        <v>63</v>
      </c>
      <c r="K21" s="6" t="s">
        <v>64</v>
      </c>
      <c r="L21" s="6" t="s">
        <v>65</v>
      </c>
      <c r="M21" s="6" t="s">
        <v>35</v>
      </c>
      <c r="N21" s="7"/>
    </row>
    <row r="22" customFormat="false" ht="61.5" hidden="false" customHeight="true" outlineLevel="0" collapsed="false">
      <c r="J22" s="5" t="s">
        <v>66</v>
      </c>
      <c r="K22" s="6" t="s">
        <v>67</v>
      </c>
      <c r="L22" s="6" t="s">
        <v>68</v>
      </c>
      <c r="M22" s="6" t="s">
        <v>35</v>
      </c>
      <c r="N22" s="7"/>
    </row>
    <row r="23" customFormat="false" ht="61.5" hidden="false" customHeight="true" outlineLevel="0" collapsed="false">
      <c r="E23" s="1" t="s">
        <v>69</v>
      </c>
      <c r="J23" s="5" t="s">
        <v>70</v>
      </c>
      <c r="K23" s="6" t="s">
        <v>71</v>
      </c>
      <c r="L23" s="6" t="s">
        <v>72</v>
      </c>
      <c r="M23" s="6" t="s">
        <v>35</v>
      </c>
      <c r="N23" s="7"/>
    </row>
    <row r="24" customFormat="false" ht="61.5" hidden="false" customHeight="true" outlineLevel="0" collapsed="false">
      <c r="E24" s="3" t="s">
        <v>73</v>
      </c>
      <c r="J24" s="5" t="s">
        <v>74</v>
      </c>
      <c r="K24" s="6" t="s">
        <v>75</v>
      </c>
      <c r="L24" s="6" t="s">
        <v>76</v>
      </c>
      <c r="M24" s="6" t="s">
        <v>35</v>
      </c>
      <c r="N24" s="7"/>
    </row>
    <row r="25" customFormat="false" ht="61.5" hidden="false" customHeight="true" outlineLevel="0" collapsed="false">
      <c r="E25" s="3" t="s">
        <v>77</v>
      </c>
      <c r="J25" s="5" t="s">
        <v>78</v>
      </c>
      <c r="K25" s="6" t="s">
        <v>79</v>
      </c>
      <c r="L25" s="6" t="s">
        <v>80</v>
      </c>
      <c r="M25" s="6" t="s">
        <v>35</v>
      </c>
      <c r="N25" s="7"/>
    </row>
    <row r="26" customFormat="false" ht="61.5" hidden="false" customHeight="true" outlineLevel="0" collapsed="false">
      <c r="J26" s="5" t="s">
        <v>81</v>
      </c>
      <c r="K26" s="6" t="s">
        <v>82</v>
      </c>
      <c r="L26" s="6" t="s">
        <v>83</v>
      </c>
      <c r="M26" s="6" t="s">
        <v>35</v>
      </c>
      <c r="N26" s="7"/>
    </row>
    <row r="27" customFormat="false" ht="61.5" hidden="false" customHeight="true" outlineLevel="0" collapsed="false">
      <c r="J27" s="5" t="s">
        <v>84</v>
      </c>
      <c r="K27" s="6" t="s">
        <v>85</v>
      </c>
      <c r="L27" s="6" t="s">
        <v>86</v>
      </c>
      <c r="M27" s="6" t="s">
        <v>35</v>
      </c>
      <c r="N27" s="7"/>
    </row>
    <row r="28" customFormat="false" ht="61.5" hidden="false" customHeight="true" outlineLevel="0" collapsed="false">
      <c r="C28" s="1" t="s">
        <v>7</v>
      </c>
      <c r="E28" s="1" t="s">
        <v>87</v>
      </c>
      <c r="J28" s="5" t="s">
        <v>88</v>
      </c>
      <c r="K28" s="6" t="s">
        <v>89</v>
      </c>
      <c r="L28" s="6" t="s">
        <v>90</v>
      </c>
      <c r="M28" s="6" t="s">
        <v>35</v>
      </c>
      <c r="N28" s="7"/>
    </row>
    <row r="29" customFormat="false" ht="61.5" hidden="false" customHeight="true" outlineLevel="0" collapsed="false">
      <c r="C29" s="1" t="s">
        <v>91</v>
      </c>
      <c r="J29" s="5" t="s">
        <v>92</v>
      </c>
      <c r="K29" s="6" t="s">
        <v>93</v>
      </c>
      <c r="L29" s="6" t="s">
        <v>94</v>
      </c>
      <c r="M29" s="6" t="s">
        <v>35</v>
      </c>
      <c r="N29" s="7"/>
    </row>
    <row r="30" customFormat="false" ht="61.5" hidden="false" customHeight="true" outlineLevel="0" collapsed="false">
      <c r="E30" s="3" t="s">
        <v>13</v>
      </c>
      <c r="F30" s="3" t="s">
        <v>95</v>
      </c>
      <c r="J30" s="5" t="s">
        <v>96</v>
      </c>
      <c r="K30" s="6" t="s">
        <v>97</v>
      </c>
      <c r="L30" s="6" t="s">
        <v>98</v>
      </c>
      <c r="M30" s="6" t="s">
        <v>99</v>
      </c>
      <c r="N30" s="7"/>
    </row>
    <row r="31" customFormat="false" ht="61.5" hidden="false" customHeight="true" outlineLevel="0" collapsed="false">
      <c r="E31" s="3" t="s">
        <v>100</v>
      </c>
      <c r="F31" s="3" t="n">
        <v>600</v>
      </c>
      <c r="J31" s="5" t="s">
        <v>101</v>
      </c>
      <c r="K31" s="6" t="s">
        <v>102</v>
      </c>
      <c r="L31" s="6" t="s">
        <v>103</v>
      </c>
      <c r="M31" s="6" t="s">
        <v>35</v>
      </c>
      <c r="N31" s="7"/>
    </row>
    <row r="32" customFormat="false" ht="61.5" hidden="false" customHeight="true" outlineLevel="0" collapsed="false">
      <c r="E32" s="3" t="s">
        <v>104</v>
      </c>
      <c r="F32" s="3" t="n">
        <f aca="false">COUNTA('P2 queries'!A2:A201)</f>
        <v>200</v>
      </c>
      <c r="J32" s="5" t="s">
        <v>105</v>
      </c>
      <c r="K32" s="6" t="s">
        <v>106</v>
      </c>
      <c r="L32" s="6" t="s">
        <v>107</v>
      </c>
      <c r="M32" s="6" t="s">
        <v>35</v>
      </c>
      <c r="N32" s="7"/>
    </row>
    <row r="33" customFormat="false" ht="61.5" hidden="false" customHeight="true" outlineLevel="0" collapsed="false">
      <c r="E33" s="3" t="s">
        <v>108</v>
      </c>
      <c r="F33" s="3" t="n">
        <v>24</v>
      </c>
      <c r="J33" s="5" t="s">
        <v>109</v>
      </c>
      <c r="K33" s="6" t="s">
        <v>110</v>
      </c>
      <c r="L33" s="6" t="s">
        <v>111</v>
      </c>
      <c r="M33" s="6" t="s">
        <v>35</v>
      </c>
      <c r="N33" s="7"/>
    </row>
    <row r="34" customFormat="false" ht="61.5" hidden="false" customHeight="true" outlineLevel="0" collapsed="false">
      <c r="E34" s="3" t="s">
        <v>112</v>
      </c>
      <c r="F34" s="3" t="n">
        <v>100</v>
      </c>
      <c r="J34" s="5" t="s">
        <v>113</v>
      </c>
      <c r="K34" s="6" t="s">
        <v>114</v>
      </c>
      <c r="L34" s="6" t="s">
        <v>115</v>
      </c>
      <c r="M34" s="6" t="s">
        <v>116</v>
      </c>
      <c r="N34" s="7"/>
    </row>
    <row r="36" customFormat="false" ht="48" hidden="false" customHeight="true" outlineLevel="0" collapsed="false">
      <c r="D36" s="4" t="s">
        <v>27</v>
      </c>
      <c r="E36" s="4" t="s">
        <v>117</v>
      </c>
      <c r="F36" s="4" t="s">
        <v>118</v>
      </c>
      <c r="G36" s="4" t="s">
        <v>119</v>
      </c>
      <c r="H36" s="4" t="s">
        <v>120</v>
      </c>
      <c r="I36" s="4" t="s">
        <v>121</v>
      </c>
      <c r="L36" s="1" t="s">
        <v>122</v>
      </c>
      <c r="M36" s="3" t="str">
        <f aca="false">COUNTIF(M15:M34,"Correct")&amp;" out of "&amp;COUNTA(M15:M34)</f>
        <v>18 out of 20</v>
      </c>
    </row>
    <row r="37" customFormat="false" ht="15" hidden="false" customHeight="false" outlineLevel="0" collapsed="false">
      <c r="C37" s="11" t="s">
        <v>36</v>
      </c>
      <c r="D37" s="11" t="s">
        <v>123</v>
      </c>
      <c r="E37" s="12" t="n">
        <f aca="false">COUNTIF('P2 queries'!D2:D201,"&lt;=5")/COUNT('P2 queries'!D2:D201)</f>
        <v>0.895</v>
      </c>
      <c r="F37" s="13" t="n">
        <v>2.26</v>
      </c>
      <c r="G37" s="12" t="n">
        <f aca="false">COUNTIF('P2 queries'!D2:D201,1)/COUNT('P2 queries'!D2:D201)</f>
        <v>0.655</v>
      </c>
      <c r="H37" s="12" t="n">
        <v>0.5417</v>
      </c>
      <c r="I37" s="11" t="n">
        <v>3</v>
      </c>
      <c r="M37" s="16" t="n">
        <f aca="false">COUNTIF(M15:M34,"Correct")/COUNTA(M15:M34)</f>
        <v>0.9</v>
      </c>
    </row>
    <row r="38" customFormat="false" ht="15" hidden="false" customHeight="false" outlineLevel="0" collapsed="false">
      <c r="C38" s="5" t="s">
        <v>41</v>
      </c>
      <c r="D38" s="5" t="s">
        <v>124</v>
      </c>
      <c r="E38" s="8" t="n">
        <f aca="false">COUNTIF('P2 queries'!E2:E201,"&lt;=5")/COUNT('P2 queries'!E2:E201)</f>
        <v>0.895</v>
      </c>
      <c r="F38" s="9" t="n">
        <v>5.89</v>
      </c>
      <c r="G38" s="8" t="n">
        <f aca="false">COUNTIF('P2 queries'!E2:E201,1)/COUNT('P2 queries'!E2:E201)</f>
        <v>0.62</v>
      </c>
      <c r="H38" s="8" t="n">
        <v>0.5833</v>
      </c>
      <c r="I38" s="5" t="n">
        <v>2</v>
      </c>
      <c r="L38" s="1" t="s">
        <v>125</v>
      </c>
      <c r="N38" s="16" t="str">
        <f aca="false">IF(COUNTA(N15:N34)=0,"not checked yet",COUNTIF(N15:N34,"Correct")/COUNTA(N15:N34))</f>
        <v>not checked yet</v>
      </c>
    </row>
    <row r="39" customFormat="false" ht="15" hidden="false" customHeight="false" outlineLevel="0" collapsed="false">
      <c r="C39" s="5" t="s">
        <v>46</v>
      </c>
      <c r="D39" s="5" t="s">
        <v>126</v>
      </c>
      <c r="E39" s="8" t="n">
        <f aca="false">COUNTIF('P2 queries'!F2:F201,"&lt;=5")/COUNT('P2 queries'!F2:F201)</f>
        <v>0.895</v>
      </c>
      <c r="F39" s="9" t="n">
        <v>2.72</v>
      </c>
      <c r="G39" s="8" t="n">
        <f aca="false">COUNTIF('P2 queries'!F2:F201,1)/COUNT('P2 queries'!F2:F201)</f>
        <v>0.6</v>
      </c>
      <c r="H39" s="8" t="n">
        <v>0.6</v>
      </c>
      <c r="I39" s="5" t="n">
        <v>5</v>
      </c>
    </row>
    <row r="40" customFormat="false" ht="31.5" hidden="false" customHeight="true" outlineLevel="0" collapsed="false">
      <c r="C40" s="5" t="s">
        <v>51</v>
      </c>
      <c r="D40" s="5" t="s">
        <v>127</v>
      </c>
      <c r="E40" s="8" t="n">
        <f aca="false">COUNTIF('P2 queries'!C2:C201,"&lt;=5")/COUNT('P2 queries'!C2:C201)</f>
        <v>0.89</v>
      </c>
      <c r="F40" s="5" t="s">
        <v>128</v>
      </c>
      <c r="G40" s="8" t="n">
        <f aca="false">COUNTIF('P2 queries'!C2:C201,1)/COUNT('P2 queries'!C2:C201)</f>
        <v>0.64</v>
      </c>
      <c r="H40" s="8" t="n">
        <v>0.475</v>
      </c>
      <c r="L40" s="15" t="s">
        <v>129</v>
      </c>
      <c r="M40" s="15"/>
      <c r="N40" s="15"/>
    </row>
    <row r="41" customFormat="false" ht="43.5" hidden="false" customHeight="true" outlineLevel="0" collapsed="false">
      <c r="D41" s="15" t="s">
        <v>130</v>
      </c>
      <c r="E41" s="15"/>
      <c r="F41" s="15"/>
      <c r="G41" s="15"/>
      <c r="H41" s="15"/>
    </row>
    <row r="43" customFormat="false" ht="15" hidden="false" customHeight="false" outlineLevel="0" collapsed="false">
      <c r="E43" s="1" t="s">
        <v>131</v>
      </c>
    </row>
    <row r="44" customFormat="false" ht="15" hidden="false" customHeight="false" outlineLevel="0" collapsed="false">
      <c r="E44" s="3" t="s">
        <v>132</v>
      </c>
    </row>
  </sheetData>
  <mergeCells count="3">
    <mergeCell ref="D21:H21"/>
    <mergeCell ref="L40:N40"/>
    <mergeCell ref="D41:H4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0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30"/>
    <col collapsed="false" customWidth="true" hidden="false" outlineLevel="0" max="3" min="3" style="0" width="34"/>
    <col collapsed="false" customWidth="true" hidden="false" outlineLevel="0" max="4" min="4" style="0" width="14"/>
  </cols>
  <sheetData>
    <row r="1" customFormat="false" ht="26.85" hidden="false" customHeight="false" outlineLevel="0" collapsed="false">
      <c r="A1" s="4" t="s">
        <v>133</v>
      </c>
      <c r="B1" s="4" t="s">
        <v>134</v>
      </c>
      <c r="C1" s="4" t="s">
        <v>135</v>
      </c>
      <c r="D1" s="4" t="s">
        <v>136</v>
      </c>
    </row>
    <row r="2" customFormat="false" ht="17.15" hidden="false" customHeight="false" outlineLevel="0" collapsed="false">
      <c r="A2" s="17" t="s">
        <v>137</v>
      </c>
      <c r="B2" s="3" t="s">
        <v>138</v>
      </c>
      <c r="C2" s="3" t="s">
        <v>138</v>
      </c>
      <c r="D2" s="3" t="str">
        <f aca="false">IF(B2=C2,"Correct","Incorrect")</f>
        <v>Correct</v>
      </c>
    </row>
    <row r="3" customFormat="false" ht="17.15" hidden="false" customHeight="false" outlineLevel="0" collapsed="false">
      <c r="A3" s="17" t="s">
        <v>139</v>
      </c>
      <c r="B3" s="3" t="s">
        <v>140</v>
      </c>
      <c r="C3" s="3" t="s">
        <v>140</v>
      </c>
      <c r="D3" s="3" t="str">
        <f aca="false">IF(B3=C3,"Correct","Incorrect")</f>
        <v>Correct</v>
      </c>
    </row>
    <row r="4" customFormat="false" ht="17.15" hidden="false" customHeight="false" outlineLevel="0" collapsed="false">
      <c r="A4" s="17" t="s">
        <v>141</v>
      </c>
      <c r="B4" s="3" t="s">
        <v>142</v>
      </c>
      <c r="C4" s="3" t="s">
        <v>142</v>
      </c>
      <c r="D4" s="3" t="str">
        <f aca="false">IF(B4=C4,"Correct","Incorrect")</f>
        <v>Correct</v>
      </c>
    </row>
    <row r="5" customFormat="false" ht="17.15" hidden="false" customHeight="false" outlineLevel="0" collapsed="false">
      <c r="A5" s="17" t="s">
        <v>143</v>
      </c>
      <c r="B5" s="3" t="s">
        <v>144</v>
      </c>
      <c r="C5" s="3" t="s">
        <v>144</v>
      </c>
      <c r="D5" s="3" t="str">
        <f aca="false">IF(B5=C5,"Correct","Incorrect")</f>
        <v>Correct</v>
      </c>
    </row>
    <row r="6" customFormat="false" ht="17.15" hidden="false" customHeight="false" outlineLevel="0" collapsed="false">
      <c r="A6" s="17" t="s">
        <v>145</v>
      </c>
      <c r="B6" s="3" t="s">
        <v>146</v>
      </c>
      <c r="C6" s="3" t="s">
        <v>146</v>
      </c>
      <c r="D6" s="3" t="str">
        <f aca="false">IF(B6=C6,"Correct","Incorrect")</f>
        <v>Correct</v>
      </c>
    </row>
    <row r="7" customFormat="false" ht="17.15" hidden="false" customHeight="false" outlineLevel="0" collapsed="false">
      <c r="A7" s="17" t="s">
        <v>147</v>
      </c>
      <c r="B7" s="3" t="s">
        <v>148</v>
      </c>
      <c r="C7" s="3" t="s">
        <v>148</v>
      </c>
      <c r="D7" s="3" t="str">
        <f aca="false">IF(B7=C7,"Correct","Incorrect")</f>
        <v>Correct</v>
      </c>
    </row>
    <row r="8" customFormat="false" ht="17.15" hidden="false" customHeight="false" outlineLevel="0" collapsed="false">
      <c r="A8" s="17" t="s">
        <v>149</v>
      </c>
      <c r="B8" s="3" t="s">
        <v>150</v>
      </c>
      <c r="C8" s="3" t="s">
        <v>150</v>
      </c>
      <c r="D8" s="3" t="str">
        <f aca="false">IF(B8=C8,"Correct","Incorrect")</f>
        <v>Correct</v>
      </c>
    </row>
    <row r="9" customFormat="false" ht="17.15" hidden="false" customHeight="false" outlineLevel="0" collapsed="false">
      <c r="A9" s="17" t="s">
        <v>151</v>
      </c>
      <c r="B9" s="3" t="s">
        <v>152</v>
      </c>
      <c r="C9" s="3" t="s">
        <v>152</v>
      </c>
      <c r="D9" s="3" t="str">
        <f aca="false">IF(B9=C9,"Correct","Incorrect")</f>
        <v>Correct</v>
      </c>
    </row>
    <row r="10" customFormat="false" ht="17.15" hidden="false" customHeight="false" outlineLevel="0" collapsed="false">
      <c r="A10" s="17" t="s">
        <v>153</v>
      </c>
      <c r="B10" s="3" t="s">
        <v>154</v>
      </c>
      <c r="C10" s="3" t="s">
        <v>154</v>
      </c>
      <c r="D10" s="3" t="str">
        <f aca="false">IF(B10=C10,"Correct","Incorrect")</f>
        <v>Correct</v>
      </c>
    </row>
    <row r="11" customFormat="false" ht="17.15" hidden="false" customHeight="false" outlineLevel="0" collapsed="false">
      <c r="A11" s="17" t="s">
        <v>155</v>
      </c>
      <c r="B11" s="3" t="s">
        <v>156</v>
      </c>
      <c r="C11" s="3" t="s">
        <v>156</v>
      </c>
      <c r="D11" s="3" t="str">
        <f aca="false">IF(B11=C11,"Correct","Incorrect")</f>
        <v>Correct</v>
      </c>
    </row>
    <row r="12" customFormat="false" ht="15" hidden="false" customHeight="false" outlineLevel="0" collapsed="false">
      <c r="A12" s="18" t="s">
        <v>157</v>
      </c>
      <c r="B12" s="3" t="s">
        <v>138</v>
      </c>
      <c r="C12" s="3" t="s">
        <v>138</v>
      </c>
      <c r="D12" s="3" t="str">
        <f aca="false">IF(B12=C12,"Correct","Incorrect")</f>
        <v>Correct</v>
      </c>
    </row>
    <row r="13" customFormat="false" ht="15" hidden="false" customHeight="false" outlineLevel="0" collapsed="false">
      <c r="A13" s="18" t="s">
        <v>158</v>
      </c>
      <c r="B13" s="3" t="s">
        <v>159</v>
      </c>
      <c r="C13" s="3" t="s">
        <v>160</v>
      </c>
      <c r="D13" s="3" t="str">
        <f aca="false">IF(B13=C13,"Correct","Incorrect")</f>
        <v>Incorrect</v>
      </c>
    </row>
    <row r="14" customFormat="false" ht="15" hidden="false" customHeight="false" outlineLevel="0" collapsed="false">
      <c r="A14" s="18" t="s">
        <v>161</v>
      </c>
      <c r="B14" s="3" t="s">
        <v>162</v>
      </c>
      <c r="C14" s="3" t="s">
        <v>162</v>
      </c>
      <c r="D14" s="3" t="str">
        <f aca="false">IF(B14=C14,"Correct","Incorrect")</f>
        <v>Correct</v>
      </c>
    </row>
    <row r="15" customFormat="false" ht="17.15" hidden="false" customHeight="false" outlineLevel="0" collapsed="false">
      <c r="A15" s="17" t="s">
        <v>163</v>
      </c>
      <c r="B15" s="3" t="s">
        <v>164</v>
      </c>
      <c r="C15" s="3" t="s">
        <v>164</v>
      </c>
      <c r="D15" s="3" t="str">
        <f aca="false">IF(B15=C15,"Correct","Incorrect")</f>
        <v>Correct</v>
      </c>
    </row>
    <row r="16" customFormat="false" ht="17.15" hidden="false" customHeight="false" outlineLevel="0" collapsed="false">
      <c r="A16" s="17" t="s">
        <v>165</v>
      </c>
      <c r="B16" s="3" t="s">
        <v>164</v>
      </c>
      <c r="C16" s="3" t="s">
        <v>164</v>
      </c>
      <c r="D16" s="3" t="str">
        <f aca="false">IF(B16=C16,"Correct","Incorrect")</f>
        <v>Correct</v>
      </c>
    </row>
    <row r="17" customFormat="false" ht="17.15" hidden="false" customHeight="false" outlineLevel="0" collapsed="false">
      <c r="A17" s="17" t="s">
        <v>166</v>
      </c>
      <c r="B17" s="3" t="s">
        <v>164</v>
      </c>
      <c r="C17" s="3" t="s">
        <v>164</v>
      </c>
      <c r="D17" s="3" t="str">
        <f aca="false">IF(B17=C17,"Correct","Incorrect")</f>
        <v>Correct</v>
      </c>
    </row>
    <row r="18" customFormat="false" ht="17.15" hidden="false" customHeight="false" outlineLevel="0" collapsed="false">
      <c r="A18" s="17" t="s">
        <v>167</v>
      </c>
      <c r="B18" s="3" t="s">
        <v>164</v>
      </c>
      <c r="C18" s="3" t="s">
        <v>164</v>
      </c>
      <c r="D18" s="3" t="str">
        <f aca="false">IF(B18=C18,"Correct","Incorrect")</f>
        <v>Correct</v>
      </c>
    </row>
    <row r="19" customFormat="false" ht="17.15" hidden="false" customHeight="false" outlineLevel="0" collapsed="false">
      <c r="A19" s="17" t="s">
        <v>168</v>
      </c>
      <c r="B19" s="3" t="s">
        <v>169</v>
      </c>
      <c r="C19" s="3" t="s">
        <v>169</v>
      </c>
      <c r="D19" s="3" t="str">
        <f aca="false">IF(B19=C19,"Correct","Incorrect")</f>
        <v>Correct</v>
      </c>
    </row>
    <row r="20" customFormat="false" ht="17.15" hidden="false" customHeight="false" outlineLevel="0" collapsed="false">
      <c r="A20" s="17" t="s">
        <v>170</v>
      </c>
      <c r="B20" s="3" t="s">
        <v>171</v>
      </c>
      <c r="C20" s="3" t="s">
        <v>171</v>
      </c>
      <c r="D20" s="3" t="str">
        <f aca="false">IF(B20=C20,"Correct","Incorrect")</f>
        <v>Correct</v>
      </c>
    </row>
    <row r="21" customFormat="false" ht="17.15" hidden="false" customHeight="false" outlineLevel="0" collapsed="false">
      <c r="A21" s="17" t="s">
        <v>172</v>
      </c>
      <c r="B21" s="3" t="s">
        <v>173</v>
      </c>
      <c r="C21" s="3" t="s">
        <v>173</v>
      </c>
      <c r="D21" s="3" t="str">
        <f aca="false">IF(B21=C21,"Correct","Incorrect")</f>
        <v>Correct</v>
      </c>
    </row>
    <row r="22" customFormat="false" ht="17.15" hidden="false" customHeight="false" outlineLevel="0" collapsed="false">
      <c r="A22" s="17" t="s">
        <v>174</v>
      </c>
      <c r="B22" s="3" t="s">
        <v>175</v>
      </c>
      <c r="C22" s="3" t="s">
        <v>175</v>
      </c>
      <c r="D22" s="3" t="str">
        <f aca="false">IF(B22=C22,"Correct","Incorrect")</f>
        <v>Correct</v>
      </c>
    </row>
    <row r="23" customFormat="false" ht="17.15" hidden="false" customHeight="false" outlineLevel="0" collapsed="false">
      <c r="A23" s="17" t="s">
        <v>176</v>
      </c>
      <c r="B23" s="3" t="s">
        <v>152</v>
      </c>
      <c r="C23" s="3" t="s">
        <v>152</v>
      </c>
      <c r="D23" s="3" t="str">
        <f aca="false">IF(B23=C23,"Correct","Incorrect")</f>
        <v>Correct</v>
      </c>
    </row>
    <row r="24" customFormat="false" ht="17.15" hidden="false" customHeight="false" outlineLevel="0" collapsed="false">
      <c r="A24" s="17" t="s">
        <v>177</v>
      </c>
      <c r="B24" s="3" t="s">
        <v>178</v>
      </c>
      <c r="C24" s="3" t="s">
        <v>178</v>
      </c>
      <c r="D24" s="3" t="str">
        <f aca="false">IF(B24=C24,"Correct","Incorrect")</f>
        <v>Correct</v>
      </c>
    </row>
    <row r="25" customFormat="false" ht="17.15" hidden="false" customHeight="false" outlineLevel="0" collapsed="false">
      <c r="A25" s="17" t="s">
        <v>179</v>
      </c>
      <c r="B25" s="3" t="s">
        <v>180</v>
      </c>
      <c r="C25" s="3" t="s">
        <v>180</v>
      </c>
      <c r="D25" s="3" t="str">
        <f aca="false">IF(B25=C25,"Correct","Incorrect")</f>
        <v>Correct</v>
      </c>
    </row>
    <row r="26" customFormat="false" ht="17.15" hidden="false" customHeight="false" outlineLevel="0" collapsed="false">
      <c r="A26" s="17" t="s">
        <v>181</v>
      </c>
      <c r="B26" s="3" t="s">
        <v>182</v>
      </c>
      <c r="C26" s="3" t="s">
        <v>182</v>
      </c>
      <c r="D26" s="3" t="str">
        <f aca="false">IF(B26=C26,"Correct","Incorrect")</f>
        <v>Correct</v>
      </c>
    </row>
    <row r="27" customFormat="false" ht="17.15" hidden="false" customHeight="false" outlineLevel="0" collapsed="false">
      <c r="A27" s="17" t="s">
        <v>183</v>
      </c>
      <c r="B27" s="3" t="s">
        <v>184</v>
      </c>
      <c r="C27" s="3" t="s">
        <v>184</v>
      </c>
      <c r="D27" s="3" t="str">
        <f aca="false">IF(B27=C27,"Correct","Incorrect")</f>
        <v>Correct</v>
      </c>
    </row>
    <row r="28" customFormat="false" ht="17.15" hidden="false" customHeight="false" outlineLevel="0" collapsed="false">
      <c r="A28" s="17" t="s">
        <v>185</v>
      </c>
      <c r="B28" s="3" t="s">
        <v>138</v>
      </c>
      <c r="C28" s="3" t="s">
        <v>138</v>
      </c>
      <c r="D28" s="3" t="str">
        <f aca="false">IF(B28=C28,"Correct","Incorrect")</f>
        <v>Correct</v>
      </c>
    </row>
    <row r="29" customFormat="false" ht="17.15" hidden="false" customHeight="false" outlineLevel="0" collapsed="false">
      <c r="A29" s="17" t="s">
        <v>186</v>
      </c>
      <c r="B29" s="3" t="s">
        <v>156</v>
      </c>
      <c r="C29" s="3" t="s">
        <v>156</v>
      </c>
      <c r="D29" s="3" t="str">
        <f aca="false">IF(B29=C29,"Correct","Incorrect")</f>
        <v>Correct</v>
      </c>
    </row>
    <row r="30" customFormat="false" ht="17.15" hidden="false" customHeight="false" outlineLevel="0" collapsed="false">
      <c r="A30" s="17" t="s">
        <v>187</v>
      </c>
      <c r="B30" s="3" t="s">
        <v>188</v>
      </c>
      <c r="C30" s="3" t="s">
        <v>188</v>
      </c>
      <c r="D30" s="3" t="str">
        <f aca="false">IF(B30=C30,"Correct","Incorrect")</f>
        <v>Correct</v>
      </c>
    </row>
    <row r="31" customFormat="false" ht="17.15" hidden="false" customHeight="false" outlineLevel="0" collapsed="false">
      <c r="A31" s="17" t="s">
        <v>189</v>
      </c>
      <c r="B31" s="3" t="s">
        <v>144</v>
      </c>
      <c r="C31" s="3" t="s">
        <v>144</v>
      </c>
      <c r="D31" s="3" t="str">
        <f aca="false">IF(B31=C31,"Correct","Incorrect")</f>
        <v>Correct</v>
      </c>
    </row>
    <row r="32" customFormat="false" ht="17.15" hidden="false" customHeight="false" outlineLevel="0" collapsed="false">
      <c r="A32" s="17" t="s">
        <v>190</v>
      </c>
      <c r="B32" s="3" t="s">
        <v>146</v>
      </c>
      <c r="C32" s="3" t="s">
        <v>146</v>
      </c>
      <c r="D32" s="3" t="str">
        <f aca="false">IF(B32=C32,"Correct","Incorrect")</f>
        <v>Correct</v>
      </c>
    </row>
    <row r="33" customFormat="false" ht="17.15" hidden="false" customHeight="false" outlineLevel="0" collapsed="false">
      <c r="A33" s="17" t="s">
        <v>191</v>
      </c>
      <c r="B33" s="3" t="s">
        <v>140</v>
      </c>
      <c r="C33" s="3" t="s">
        <v>140</v>
      </c>
      <c r="D33" s="3" t="str">
        <f aca="false">IF(B33=C33,"Correct","Incorrect")</f>
        <v>Correct</v>
      </c>
    </row>
    <row r="34" customFormat="false" ht="17.15" hidden="false" customHeight="false" outlineLevel="0" collapsed="false">
      <c r="A34" s="17" t="s">
        <v>192</v>
      </c>
      <c r="B34" s="3" t="s">
        <v>154</v>
      </c>
      <c r="C34" s="3" t="s">
        <v>154</v>
      </c>
      <c r="D34" s="3" t="str">
        <f aca="false">IF(B34=C34,"Correct","Incorrect")</f>
        <v>Correct</v>
      </c>
    </row>
    <row r="35" customFormat="false" ht="17.15" hidden="false" customHeight="false" outlineLevel="0" collapsed="false">
      <c r="A35" s="17" t="s">
        <v>193</v>
      </c>
      <c r="B35" s="3" t="s">
        <v>152</v>
      </c>
      <c r="C35" s="3" t="s">
        <v>152</v>
      </c>
      <c r="D35" s="3" t="str">
        <f aca="false">IF(B35=C35,"Correct","Incorrect")</f>
        <v>Correct</v>
      </c>
    </row>
    <row r="36" customFormat="false" ht="17.15" hidden="false" customHeight="false" outlineLevel="0" collapsed="false">
      <c r="A36" s="17" t="s">
        <v>194</v>
      </c>
      <c r="B36" s="3" t="s">
        <v>162</v>
      </c>
      <c r="C36" s="3" t="s">
        <v>162</v>
      </c>
      <c r="D36" s="3" t="str">
        <f aca="false">IF(B36=C36,"Correct","Incorrect")</f>
        <v>Correct</v>
      </c>
    </row>
    <row r="37" customFormat="false" ht="15" hidden="false" customHeight="false" outlineLevel="0" collapsed="false">
      <c r="A37" s="18" t="s">
        <v>195</v>
      </c>
      <c r="B37" s="3" t="s">
        <v>188</v>
      </c>
      <c r="C37" s="3" t="s">
        <v>188</v>
      </c>
      <c r="D37" s="3" t="str">
        <f aca="false">IF(B37=C37,"Correct","Incorrect")</f>
        <v>Correct</v>
      </c>
    </row>
    <row r="38" customFormat="false" ht="15" hidden="false" customHeight="false" outlineLevel="0" collapsed="false">
      <c r="A38" s="18" t="s">
        <v>196</v>
      </c>
      <c r="B38" s="3" t="s">
        <v>150</v>
      </c>
      <c r="C38" s="3" t="s">
        <v>150</v>
      </c>
      <c r="D38" s="3" t="str">
        <f aca="false">IF(B38=C38,"Correct","Incorrect")</f>
        <v>Correct</v>
      </c>
    </row>
    <row r="39" customFormat="false" ht="15" hidden="false" customHeight="false" outlineLevel="0" collapsed="false">
      <c r="A39" s="18" t="s">
        <v>197</v>
      </c>
      <c r="B39" s="3" t="s">
        <v>142</v>
      </c>
      <c r="C39" s="3" t="s">
        <v>142</v>
      </c>
      <c r="D39" s="3" t="str">
        <f aca="false">IF(B39=C39,"Correct","Incorrect")</f>
        <v>Correct</v>
      </c>
    </row>
    <row r="40" customFormat="false" ht="15" hidden="false" customHeight="false" outlineLevel="0" collapsed="false">
      <c r="A40" s="18" t="s">
        <v>198</v>
      </c>
      <c r="B40" s="3" t="s">
        <v>164</v>
      </c>
      <c r="C40" s="3" t="s">
        <v>164</v>
      </c>
      <c r="D40" s="3" t="str">
        <f aca="false">IF(B40=C40,"Correct","Incorrect")</f>
        <v>Correct</v>
      </c>
    </row>
    <row r="41" customFormat="false" ht="15" hidden="false" customHeight="false" outlineLevel="0" collapsed="false">
      <c r="A41" s="18" t="s">
        <v>199</v>
      </c>
      <c r="B41" s="3" t="s">
        <v>164</v>
      </c>
      <c r="C41" s="3" t="s">
        <v>164</v>
      </c>
      <c r="D41" s="3" t="str">
        <f aca="false">IF(B41=C41,"Correct","Incorrect")</f>
        <v>Correct</v>
      </c>
    </row>
    <row r="42" customFormat="false" ht="17.15" hidden="false" customHeight="false" outlineLevel="0" collapsed="false">
      <c r="A42" s="17" t="s">
        <v>200</v>
      </c>
      <c r="B42" s="3" t="s">
        <v>154</v>
      </c>
      <c r="C42" s="3" t="s">
        <v>154</v>
      </c>
      <c r="D42" s="3" t="str">
        <f aca="false">IF(B42=C42,"Correct","Incorrect")</f>
        <v>Correct</v>
      </c>
    </row>
    <row r="43" customFormat="false" ht="17.15" hidden="false" customHeight="false" outlineLevel="0" collapsed="false">
      <c r="A43" s="17" t="s">
        <v>201</v>
      </c>
      <c r="B43" s="3" t="s">
        <v>202</v>
      </c>
      <c r="C43" s="3" t="s">
        <v>202</v>
      </c>
      <c r="D43" s="3" t="str">
        <f aca="false">IF(B43=C43,"Correct","Incorrect")</f>
        <v>Correct</v>
      </c>
    </row>
    <row r="44" customFormat="false" ht="17.15" hidden="false" customHeight="false" outlineLevel="0" collapsed="false">
      <c r="A44" s="17" t="s">
        <v>203</v>
      </c>
      <c r="B44" s="3" t="s">
        <v>146</v>
      </c>
      <c r="C44" s="3" t="s">
        <v>146</v>
      </c>
      <c r="D44" s="3" t="str">
        <f aca="false">IF(B44=C44,"Correct","Incorrect")</f>
        <v>Correct</v>
      </c>
    </row>
    <row r="45" customFormat="false" ht="17.15" hidden="false" customHeight="false" outlineLevel="0" collapsed="false">
      <c r="A45" s="17" t="s">
        <v>204</v>
      </c>
      <c r="B45" s="3" t="s">
        <v>188</v>
      </c>
      <c r="C45" s="3" t="s">
        <v>188</v>
      </c>
      <c r="D45" s="3" t="str">
        <f aca="false">IF(B45=C45,"Correct","Incorrect")</f>
        <v>Correct</v>
      </c>
    </row>
    <row r="46" customFormat="false" ht="17.15" hidden="false" customHeight="false" outlineLevel="0" collapsed="false">
      <c r="A46" s="17" t="s">
        <v>205</v>
      </c>
      <c r="B46" s="3" t="s">
        <v>202</v>
      </c>
      <c r="C46" s="3" t="s">
        <v>202</v>
      </c>
      <c r="D46" s="3" t="str">
        <f aca="false">IF(B46=C46,"Correct","Incorrect")</f>
        <v>Correct</v>
      </c>
    </row>
    <row r="47" customFormat="false" ht="17.15" hidden="false" customHeight="false" outlineLevel="0" collapsed="false">
      <c r="A47" s="17" t="s">
        <v>206</v>
      </c>
      <c r="B47" s="3" t="s">
        <v>207</v>
      </c>
      <c r="C47" s="3" t="s">
        <v>207</v>
      </c>
      <c r="D47" s="3" t="str">
        <f aca="false">IF(B47=C47,"Correct","Incorrect")</f>
        <v>Correct</v>
      </c>
    </row>
    <row r="48" customFormat="false" ht="17.15" hidden="false" customHeight="false" outlineLevel="0" collapsed="false">
      <c r="A48" s="17" t="s">
        <v>208</v>
      </c>
      <c r="B48" s="3" t="s">
        <v>209</v>
      </c>
      <c r="C48" s="3" t="s">
        <v>209</v>
      </c>
      <c r="D48" s="3" t="str">
        <f aca="false">IF(B48=C48,"Correct","Incorrect")</f>
        <v>Correct</v>
      </c>
    </row>
    <row r="49" customFormat="false" ht="17.15" hidden="false" customHeight="false" outlineLevel="0" collapsed="false">
      <c r="A49" s="17" t="s">
        <v>210</v>
      </c>
      <c r="B49" s="3" t="s">
        <v>180</v>
      </c>
      <c r="C49" s="3" t="s">
        <v>180</v>
      </c>
      <c r="D49" s="3" t="str">
        <f aca="false">IF(B49=C49,"Correct","Incorrect")</f>
        <v>Correct</v>
      </c>
    </row>
    <row r="50" customFormat="false" ht="17.15" hidden="false" customHeight="false" outlineLevel="0" collapsed="false">
      <c r="A50" s="17" t="s">
        <v>211</v>
      </c>
      <c r="B50" s="3" t="s">
        <v>138</v>
      </c>
      <c r="C50" s="3" t="s">
        <v>138</v>
      </c>
      <c r="D50" s="3" t="str">
        <f aca="false">IF(B50=C50,"Correct","Incorrect")</f>
        <v>Correct</v>
      </c>
    </row>
    <row r="51" customFormat="false" ht="17.15" hidden="false" customHeight="false" outlineLevel="0" collapsed="false">
      <c r="A51" s="17" t="s">
        <v>212</v>
      </c>
      <c r="B51" s="3" t="s">
        <v>148</v>
      </c>
      <c r="C51" s="3" t="s">
        <v>148</v>
      </c>
      <c r="D51" s="3" t="str">
        <f aca="false">IF(B51=C51,"Correct","Incorrect")</f>
        <v>Correct</v>
      </c>
    </row>
    <row r="52" customFormat="false" ht="17.15" hidden="false" customHeight="false" outlineLevel="0" collapsed="false">
      <c r="A52" s="17" t="s">
        <v>213</v>
      </c>
      <c r="B52" s="3" t="s">
        <v>150</v>
      </c>
      <c r="C52" s="3" t="s">
        <v>150</v>
      </c>
      <c r="D52" s="3" t="str">
        <f aca="false">IF(B52=C52,"Correct","Incorrect")</f>
        <v>Correct</v>
      </c>
    </row>
    <row r="53" customFormat="false" ht="17.15" hidden="false" customHeight="false" outlineLevel="0" collapsed="false">
      <c r="A53" s="17" t="s">
        <v>214</v>
      </c>
      <c r="B53" s="3" t="s">
        <v>215</v>
      </c>
      <c r="C53" s="3" t="s">
        <v>215</v>
      </c>
      <c r="D53" s="3" t="str">
        <f aca="false">IF(B53=C53,"Correct","Incorrect")</f>
        <v>Correct</v>
      </c>
    </row>
    <row r="54" customFormat="false" ht="17.15" hidden="false" customHeight="false" outlineLevel="0" collapsed="false">
      <c r="A54" s="17" t="s">
        <v>216</v>
      </c>
      <c r="B54" s="3" t="s">
        <v>146</v>
      </c>
      <c r="C54" s="3" t="s">
        <v>146</v>
      </c>
      <c r="D54" s="3" t="str">
        <f aca="false">IF(B54=C54,"Correct","Incorrect")</f>
        <v>Correct</v>
      </c>
    </row>
    <row r="55" customFormat="false" ht="17.15" hidden="false" customHeight="false" outlineLevel="0" collapsed="false">
      <c r="A55" s="17" t="s">
        <v>217</v>
      </c>
      <c r="B55" s="3" t="s">
        <v>175</v>
      </c>
      <c r="C55" s="3" t="s">
        <v>175</v>
      </c>
      <c r="D55" s="3" t="str">
        <f aca="false">IF(B55=C55,"Correct","Incorrect")</f>
        <v>Correct</v>
      </c>
    </row>
    <row r="56" customFormat="false" ht="17.15" hidden="false" customHeight="false" outlineLevel="0" collapsed="false">
      <c r="A56" s="17" t="s">
        <v>218</v>
      </c>
      <c r="B56" s="3" t="s">
        <v>164</v>
      </c>
      <c r="C56" s="3" t="s">
        <v>146</v>
      </c>
      <c r="D56" s="3" t="str">
        <f aca="false">IF(B56=C56,"Correct","Incorrect")</f>
        <v>Incorrect</v>
      </c>
    </row>
    <row r="57" customFormat="false" ht="17.15" hidden="false" customHeight="false" outlineLevel="0" collapsed="false">
      <c r="A57" s="17" t="s">
        <v>219</v>
      </c>
      <c r="B57" s="3" t="s">
        <v>164</v>
      </c>
      <c r="C57" s="3" t="s">
        <v>164</v>
      </c>
      <c r="D57" s="3" t="str">
        <f aca="false">IF(B57=C57,"Correct","Incorrect")</f>
        <v>Correct</v>
      </c>
    </row>
    <row r="58" customFormat="false" ht="17.15" hidden="false" customHeight="false" outlineLevel="0" collapsed="false">
      <c r="A58" s="17" t="s">
        <v>220</v>
      </c>
      <c r="B58" s="3" t="s">
        <v>164</v>
      </c>
      <c r="C58" s="3" t="s">
        <v>164</v>
      </c>
      <c r="D58" s="3" t="str">
        <f aca="false">IF(B58=C58,"Correct","Incorrect")</f>
        <v>Correct</v>
      </c>
    </row>
    <row r="59" customFormat="false" ht="17.15" hidden="false" customHeight="false" outlineLevel="0" collapsed="false">
      <c r="A59" s="17" t="s">
        <v>221</v>
      </c>
      <c r="B59" s="3" t="s">
        <v>164</v>
      </c>
      <c r="C59" s="3" t="s">
        <v>164</v>
      </c>
      <c r="D59" s="3" t="str">
        <f aca="false">IF(B59=C59,"Correct","Incorrect")</f>
        <v>Correct</v>
      </c>
    </row>
    <row r="60" customFormat="false" ht="17.15" hidden="false" customHeight="false" outlineLevel="0" collapsed="false">
      <c r="A60" s="17" t="s">
        <v>222</v>
      </c>
      <c r="B60" s="3" t="s">
        <v>180</v>
      </c>
      <c r="C60" s="3" t="s">
        <v>180</v>
      </c>
      <c r="D60" s="3" t="str">
        <f aca="false">IF(B60=C60,"Correct","Incorrect")</f>
        <v>Correct</v>
      </c>
    </row>
    <row r="61" customFormat="false" ht="17.15" hidden="false" customHeight="false" outlineLevel="0" collapsed="false">
      <c r="A61" s="17" t="s">
        <v>223</v>
      </c>
      <c r="B61" s="3" t="s">
        <v>144</v>
      </c>
      <c r="C61" s="3" t="s">
        <v>144</v>
      </c>
      <c r="D61" s="3" t="str">
        <f aca="false">IF(B61=C61,"Correct","Incorrect")</f>
        <v>Correct</v>
      </c>
    </row>
    <row r="62" customFormat="false" ht="17.15" hidden="false" customHeight="false" outlineLevel="0" collapsed="false">
      <c r="A62" s="17" t="s">
        <v>224</v>
      </c>
      <c r="B62" s="3" t="s">
        <v>184</v>
      </c>
      <c r="C62" s="3" t="s">
        <v>173</v>
      </c>
      <c r="D62" s="3" t="str">
        <f aca="false">IF(B62=C62,"Correct","Incorrect")</f>
        <v>Incorrect</v>
      </c>
    </row>
    <row r="63" customFormat="false" ht="17.15" hidden="false" customHeight="false" outlineLevel="0" collapsed="false">
      <c r="A63" s="17" t="s">
        <v>225</v>
      </c>
      <c r="B63" s="3" t="s">
        <v>226</v>
      </c>
      <c r="C63" s="3" t="s">
        <v>226</v>
      </c>
      <c r="D63" s="3" t="str">
        <f aca="false">IF(B63=C63,"Correct","Incorrect")</f>
        <v>Correct</v>
      </c>
    </row>
    <row r="64" customFormat="false" ht="17.15" hidden="false" customHeight="false" outlineLevel="0" collapsed="false">
      <c r="A64" s="17" t="s">
        <v>227</v>
      </c>
      <c r="B64" s="3" t="s">
        <v>228</v>
      </c>
      <c r="C64" s="3" t="s">
        <v>228</v>
      </c>
      <c r="D64" s="3" t="str">
        <f aca="false">IF(B64=C64,"Correct","Incorrect")</f>
        <v>Correct</v>
      </c>
    </row>
    <row r="65" customFormat="false" ht="17.15" hidden="false" customHeight="false" outlineLevel="0" collapsed="false">
      <c r="A65" s="17" t="s">
        <v>229</v>
      </c>
      <c r="B65" s="3" t="s">
        <v>230</v>
      </c>
      <c r="C65" s="3" t="s">
        <v>230</v>
      </c>
      <c r="D65" s="3" t="str">
        <f aca="false">IF(B65=C65,"Correct","Incorrect")</f>
        <v>Correct</v>
      </c>
    </row>
    <row r="66" customFormat="false" ht="17.15" hidden="false" customHeight="false" outlineLevel="0" collapsed="false">
      <c r="A66" s="17" t="s">
        <v>231</v>
      </c>
      <c r="B66" s="3" t="s">
        <v>232</v>
      </c>
      <c r="C66" s="3" t="s">
        <v>140</v>
      </c>
      <c r="D66" s="3" t="str">
        <f aca="false">IF(B66=C66,"Correct","Incorrect")</f>
        <v>Incorrect</v>
      </c>
    </row>
    <row r="67" customFormat="false" ht="15" hidden="false" customHeight="false" outlineLevel="0" collapsed="false">
      <c r="A67" s="18" t="s">
        <v>233</v>
      </c>
      <c r="B67" s="3" t="s">
        <v>138</v>
      </c>
      <c r="C67" s="3" t="s">
        <v>138</v>
      </c>
      <c r="D67" s="3" t="str">
        <f aca="false">IF(B67=C67,"Correct","Incorrect")</f>
        <v>Correct</v>
      </c>
    </row>
    <row r="68" customFormat="false" ht="15" hidden="false" customHeight="false" outlineLevel="0" collapsed="false">
      <c r="A68" s="18" t="s">
        <v>234</v>
      </c>
      <c r="B68" s="3" t="s">
        <v>209</v>
      </c>
      <c r="C68" s="3" t="s">
        <v>209</v>
      </c>
      <c r="D68" s="3" t="str">
        <f aca="false">IF(B68=C68,"Correct","Incorrect")</f>
        <v>Correct</v>
      </c>
    </row>
    <row r="69" customFormat="false" ht="15" hidden="false" customHeight="false" outlineLevel="0" collapsed="false">
      <c r="A69" s="18" t="s">
        <v>235</v>
      </c>
      <c r="B69" s="3" t="s">
        <v>142</v>
      </c>
      <c r="C69" s="3" t="s">
        <v>169</v>
      </c>
      <c r="D69" s="3" t="str">
        <f aca="false">IF(B69=C69,"Correct","Incorrect")</f>
        <v>Incorrect</v>
      </c>
    </row>
    <row r="70" customFormat="false" ht="17.15" hidden="false" customHeight="false" outlineLevel="0" collapsed="false">
      <c r="A70" s="17" t="s">
        <v>236</v>
      </c>
      <c r="B70" s="3" t="s">
        <v>237</v>
      </c>
      <c r="C70" s="3" t="s">
        <v>237</v>
      </c>
      <c r="D70" s="3" t="str">
        <f aca="false">IF(B70=C70,"Correct","Incorrect")</f>
        <v>Correct</v>
      </c>
    </row>
    <row r="71" customFormat="false" ht="17.15" hidden="false" customHeight="false" outlineLevel="0" collapsed="false">
      <c r="A71" s="17" t="s">
        <v>238</v>
      </c>
      <c r="B71" s="3" t="s">
        <v>239</v>
      </c>
      <c r="C71" s="3" t="s">
        <v>239</v>
      </c>
      <c r="D71" s="3" t="str">
        <f aca="false">IF(B71=C71,"Correct","Incorrect")</f>
        <v>Correct</v>
      </c>
    </row>
    <row r="72" customFormat="false" ht="17.15" hidden="false" customHeight="false" outlineLevel="0" collapsed="false">
      <c r="A72" s="17" t="s">
        <v>240</v>
      </c>
      <c r="B72" s="3" t="s">
        <v>241</v>
      </c>
      <c r="C72" s="3" t="s">
        <v>241</v>
      </c>
      <c r="D72" s="3" t="str">
        <f aca="false">IF(B72=C72,"Correct","Incorrect")</f>
        <v>Correct</v>
      </c>
    </row>
    <row r="73" customFormat="false" ht="17.15" hidden="false" customHeight="false" outlineLevel="0" collapsed="false">
      <c r="A73" s="17" t="s">
        <v>242</v>
      </c>
      <c r="B73" s="3" t="s">
        <v>164</v>
      </c>
      <c r="C73" s="3" t="s">
        <v>146</v>
      </c>
      <c r="D73" s="3" t="str">
        <f aca="false">IF(B73=C73,"Correct","Incorrect")</f>
        <v>Incorrect</v>
      </c>
    </row>
    <row r="74" customFormat="false" ht="17.15" hidden="false" customHeight="false" outlineLevel="0" collapsed="false">
      <c r="A74" s="17" t="s">
        <v>243</v>
      </c>
      <c r="B74" s="3" t="s">
        <v>175</v>
      </c>
      <c r="C74" s="3" t="s">
        <v>175</v>
      </c>
      <c r="D74" s="3" t="str">
        <f aca="false">IF(B74=C74,"Correct","Incorrect")</f>
        <v>Correct</v>
      </c>
    </row>
    <row r="75" customFormat="false" ht="17.15" hidden="false" customHeight="false" outlineLevel="0" collapsed="false">
      <c r="A75" s="17" t="s">
        <v>244</v>
      </c>
      <c r="B75" s="3" t="s">
        <v>156</v>
      </c>
      <c r="C75" s="3" t="s">
        <v>156</v>
      </c>
      <c r="D75" s="3" t="str">
        <f aca="false">IF(B75=C75,"Correct","Incorrect")</f>
        <v>Correct</v>
      </c>
    </row>
    <row r="76" customFormat="false" ht="17.15" hidden="false" customHeight="false" outlineLevel="0" collapsed="false">
      <c r="A76" s="17" t="s">
        <v>245</v>
      </c>
      <c r="B76" s="3" t="s">
        <v>180</v>
      </c>
      <c r="C76" s="3" t="s">
        <v>180</v>
      </c>
      <c r="D76" s="3" t="str">
        <f aca="false">IF(B76=C76,"Correct","Incorrect")</f>
        <v>Correct</v>
      </c>
    </row>
    <row r="77" customFormat="false" ht="17.15" hidden="false" customHeight="false" outlineLevel="0" collapsed="false">
      <c r="A77" s="17" t="s">
        <v>246</v>
      </c>
      <c r="B77" s="3" t="s">
        <v>154</v>
      </c>
      <c r="C77" s="3" t="s">
        <v>154</v>
      </c>
      <c r="D77" s="3" t="str">
        <f aca="false">IF(B77=C77,"Correct","Incorrect")</f>
        <v>Correct</v>
      </c>
    </row>
    <row r="78" customFormat="false" ht="17.15" hidden="false" customHeight="false" outlineLevel="0" collapsed="false">
      <c r="A78" s="17" t="s">
        <v>247</v>
      </c>
      <c r="B78" s="3" t="s">
        <v>140</v>
      </c>
      <c r="C78" s="3" t="s">
        <v>140</v>
      </c>
      <c r="D78" s="3" t="str">
        <f aca="false">IF(B78=C78,"Correct","Incorrect")</f>
        <v>Correct</v>
      </c>
    </row>
    <row r="79" customFormat="false" ht="17.15" hidden="false" customHeight="false" outlineLevel="0" collapsed="false">
      <c r="A79" s="17" t="s">
        <v>248</v>
      </c>
      <c r="B79" s="3" t="s">
        <v>138</v>
      </c>
      <c r="C79" s="3" t="s">
        <v>249</v>
      </c>
      <c r="D79" s="3" t="str">
        <f aca="false">IF(B79=C79,"Correct","Incorrect")</f>
        <v>Incorrect</v>
      </c>
    </row>
    <row r="80" customFormat="false" ht="17.15" hidden="false" customHeight="false" outlineLevel="0" collapsed="false">
      <c r="A80" s="17" t="s">
        <v>250</v>
      </c>
      <c r="B80" s="3" t="s">
        <v>146</v>
      </c>
      <c r="C80" s="3" t="s">
        <v>146</v>
      </c>
      <c r="D80" s="3" t="str">
        <f aca="false">IF(B80=C80,"Correct","Incorrect")</f>
        <v>Correct</v>
      </c>
    </row>
    <row r="81" customFormat="false" ht="17.15" hidden="false" customHeight="false" outlineLevel="0" collapsed="false">
      <c r="A81" s="17" t="s">
        <v>251</v>
      </c>
      <c r="B81" s="3" t="s">
        <v>144</v>
      </c>
      <c r="C81" s="3" t="s">
        <v>146</v>
      </c>
      <c r="D81" s="3" t="str">
        <f aca="false">IF(B81=C81,"Correct","Incorrect")</f>
        <v>Incorrect</v>
      </c>
    </row>
    <row r="82" customFormat="false" ht="17.15" hidden="false" customHeight="false" outlineLevel="0" collapsed="false">
      <c r="A82" s="17" t="s">
        <v>252</v>
      </c>
      <c r="B82" s="3" t="s">
        <v>253</v>
      </c>
      <c r="C82" s="3" t="s">
        <v>253</v>
      </c>
      <c r="D82" s="3" t="str">
        <f aca="false">IF(B82=C82,"Correct","Incorrect")</f>
        <v>Correct</v>
      </c>
    </row>
    <row r="83" customFormat="false" ht="17.15" hidden="false" customHeight="false" outlineLevel="0" collapsed="false">
      <c r="A83" s="17" t="s">
        <v>254</v>
      </c>
      <c r="B83" s="3" t="s">
        <v>255</v>
      </c>
      <c r="C83" s="3" t="s">
        <v>255</v>
      </c>
      <c r="D83" s="3" t="str">
        <f aca="false">IF(B83=C83,"Correct","Incorrect")</f>
        <v>Correct</v>
      </c>
    </row>
    <row r="84" customFormat="false" ht="17.15" hidden="false" customHeight="false" outlineLevel="0" collapsed="false">
      <c r="A84" s="17" t="s">
        <v>256</v>
      </c>
      <c r="B84" s="3" t="s">
        <v>164</v>
      </c>
      <c r="C84" s="3" t="s">
        <v>146</v>
      </c>
      <c r="D84" s="3" t="str">
        <f aca="false">IF(B84=C84,"Correct","Incorrect")</f>
        <v>Incorrect</v>
      </c>
    </row>
    <row r="85" customFormat="false" ht="17.15" hidden="false" customHeight="false" outlineLevel="0" collapsed="false">
      <c r="A85" s="17" t="s">
        <v>257</v>
      </c>
      <c r="B85" s="3" t="s">
        <v>164</v>
      </c>
      <c r="C85" s="3" t="s">
        <v>164</v>
      </c>
      <c r="D85" s="3" t="str">
        <f aca="false">IF(B85=C85,"Correct","Incorrect")</f>
        <v>Correct</v>
      </c>
    </row>
    <row r="86" customFormat="false" ht="17.15" hidden="false" customHeight="false" outlineLevel="0" collapsed="false">
      <c r="A86" s="17" t="s">
        <v>258</v>
      </c>
      <c r="B86" s="3" t="s">
        <v>146</v>
      </c>
      <c r="C86" s="3" t="s">
        <v>146</v>
      </c>
      <c r="D86" s="3" t="str">
        <f aca="false">IF(B86=C86,"Correct","Incorrect")</f>
        <v>Correct</v>
      </c>
    </row>
    <row r="87" customFormat="false" ht="17.15" hidden="false" customHeight="false" outlineLevel="0" collapsed="false">
      <c r="A87" s="17" t="s">
        <v>259</v>
      </c>
      <c r="B87" s="3" t="s">
        <v>164</v>
      </c>
      <c r="C87" s="3" t="s">
        <v>152</v>
      </c>
      <c r="D87" s="3" t="str">
        <f aca="false">IF(B87=C87,"Correct","Incorrect")</f>
        <v>Incorrect</v>
      </c>
    </row>
    <row r="88" customFormat="false" ht="17.15" hidden="false" customHeight="false" outlineLevel="0" collapsed="false">
      <c r="A88" s="17" t="s">
        <v>260</v>
      </c>
      <c r="B88" s="3" t="s">
        <v>164</v>
      </c>
      <c r="C88" s="3" t="s">
        <v>164</v>
      </c>
      <c r="D88" s="3" t="str">
        <f aca="false">IF(B88=C88,"Correct","Incorrect")</f>
        <v>Correct</v>
      </c>
    </row>
    <row r="89" customFormat="false" ht="17.15" hidden="false" customHeight="false" outlineLevel="0" collapsed="false">
      <c r="A89" s="17" t="s">
        <v>261</v>
      </c>
      <c r="B89" s="3" t="s">
        <v>241</v>
      </c>
      <c r="C89" s="3" t="s">
        <v>241</v>
      </c>
      <c r="D89" s="3" t="str">
        <f aca="false">IF(B89=C89,"Correct","Incorrect")</f>
        <v>Correct</v>
      </c>
    </row>
    <row r="90" customFormat="false" ht="17.15" hidden="false" customHeight="false" outlineLevel="0" collapsed="false">
      <c r="A90" s="17" t="s">
        <v>262</v>
      </c>
      <c r="B90" s="3" t="s">
        <v>162</v>
      </c>
      <c r="C90" s="3" t="s">
        <v>162</v>
      </c>
      <c r="D90" s="3" t="str">
        <f aca="false">IF(B90=C90,"Correct","Incorrect")</f>
        <v>Correct</v>
      </c>
    </row>
    <row r="91" customFormat="false" ht="17.15" hidden="false" customHeight="false" outlineLevel="0" collapsed="false">
      <c r="A91" s="17" t="s">
        <v>263</v>
      </c>
      <c r="B91" s="3" t="s">
        <v>150</v>
      </c>
      <c r="C91" s="3" t="s">
        <v>150</v>
      </c>
      <c r="D91" s="3" t="str">
        <f aca="false">IF(B91=C91,"Correct","Incorrect")</f>
        <v>Correct</v>
      </c>
    </row>
    <row r="92" customFormat="false" ht="17.15" hidden="false" customHeight="false" outlineLevel="0" collapsed="false">
      <c r="A92" s="17" t="s">
        <v>264</v>
      </c>
      <c r="B92" s="3" t="s">
        <v>152</v>
      </c>
      <c r="C92" s="3" t="s">
        <v>152</v>
      </c>
      <c r="D92" s="3" t="str">
        <f aca="false">IF(B92=C92,"Correct","Incorrect")</f>
        <v>Correct</v>
      </c>
    </row>
    <row r="93" customFormat="false" ht="17.15" hidden="false" customHeight="false" outlineLevel="0" collapsed="false">
      <c r="A93" s="17" t="s">
        <v>265</v>
      </c>
      <c r="B93" s="3" t="s">
        <v>169</v>
      </c>
      <c r="C93" s="3" t="s">
        <v>180</v>
      </c>
      <c r="D93" s="3" t="str">
        <f aca="false">IF(B93=C93,"Correct","Incorrect")</f>
        <v>Incorrect</v>
      </c>
    </row>
    <row r="94" customFormat="false" ht="17.15" hidden="false" customHeight="false" outlineLevel="0" collapsed="false">
      <c r="A94" s="17" t="s">
        <v>266</v>
      </c>
      <c r="B94" s="3" t="s">
        <v>142</v>
      </c>
      <c r="C94" s="3" t="s">
        <v>142</v>
      </c>
      <c r="D94" s="3" t="str">
        <f aca="false">IF(B94=C94,"Correct","Incorrect")</f>
        <v>Correct</v>
      </c>
    </row>
    <row r="95" customFormat="false" ht="17.15" hidden="false" customHeight="false" outlineLevel="0" collapsed="false">
      <c r="A95" s="17" t="s">
        <v>267</v>
      </c>
      <c r="B95" s="3" t="s">
        <v>209</v>
      </c>
      <c r="C95" s="3" t="s">
        <v>209</v>
      </c>
      <c r="D95" s="3" t="str">
        <f aca="false">IF(B95=C95,"Correct","Incorrect")</f>
        <v>Correct</v>
      </c>
    </row>
    <row r="96" customFormat="false" ht="17.15" hidden="false" customHeight="false" outlineLevel="0" collapsed="false">
      <c r="A96" s="17" t="s">
        <v>268</v>
      </c>
      <c r="B96" s="3" t="s">
        <v>184</v>
      </c>
      <c r="C96" s="3" t="s">
        <v>184</v>
      </c>
      <c r="D96" s="3" t="str">
        <f aca="false">IF(B96=C96,"Correct","Incorrect")</f>
        <v>Correct</v>
      </c>
    </row>
    <row r="97" customFormat="false" ht="17.15" hidden="false" customHeight="false" outlineLevel="0" collapsed="false">
      <c r="A97" s="17" t="s">
        <v>269</v>
      </c>
      <c r="B97" s="3" t="s">
        <v>152</v>
      </c>
      <c r="C97" s="3" t="s">
        <v>152</v>
      </c>
      <c r="D97" s="3" t="str">
        <f aca="false">IF(B97=C97,"Correct","Incorrect")</f>
        <v>Correct</v>
      </c>
    </row>
    <row r="98" customFormat="false" ht="17.15" hidden="false" customHeight="false" outlineLevel="0" collapsed="false">
      <c r="A98" s="17" t="s">
        <v>270</v>
      </c>
      <c r="B98" s="3" t="s">
        <v>182</v>
      </c>
      <c r="C98" s="3" t="s">
        <v>182</v>
      </c>
      <c r="D98" s="3" t="str">
        <f aca="false">IF(B98=C98,"Correct","Incorrect")</f>
        <v>Correct</v>
      </c>
    </row>
    <row r="99" customFormat="false" ht="17.15" hidden="false" customHeight="false" outlineLevel="0" collapsed="false">
      <c r="A99" s="17" t="s">
        <v>271</v>
      </c>
      <c r="B99" s="3" t="s">
        <v>164</v>
      </c>
      <c r="C99" s="3" t="s">
        <v>164</v>
      </c>
      <c r="D99" s="3" t="str">
        <f aca="false">IF(B99=C99,"Correct","Incorrect")</f>
        <v>Correct</v>
      </c>
    </row>
    <row r="100" customFormat="false" ht="15" hidden="false" customHeight="false" outlineLevel="0" collapsed="false">
      <c r="A100" s="18" t="s">
        <v>272</v>
      </c>
      <c r="B100" s="3" t="s">
        <v>207</v>
      </c>
      <c r="C100" s="3" t="s">
        <v>273</v>
      </c>
      <c r="D100" s="3" t="str">
        <f aca="false">IF(B100=C100,"Correct","Incorrect")</f>
        <v>Incorrect</v>
      </c>
    </row>
    <row r="101" customFormat="false" ht="15" hidden="false" customHeight="false" outlineLevel="0" collapsed="false">
      <c r="A101" s="18" t="s">
        <v>274</v>
      </c>
      <c r="B101" s="3" t="s">
        <v>202</v>
      </c>
      <c r="C101" s="3" t="s">
        <v>202</v>
      </c>
      <c r="D101" s="3" t="str">
        <f aca="false">IF(B101=C101,"Correct","Incorrect")</f>
        <v>Correct</v>
      </c>
    </row>
    <row r="102" customFormat="false" ht="15" hidden="false" customHeight="false" outlineLevel="0" collapsed="false">
      <c r="A102" s="18" t="s">
        <v>275</v>
      </c>
      <c r="B102" s="3" t="s">
        <v>146</v>
      </c>
      <c r="C102" s="3" t="s">
        <v>146</v>
      </c>
      <c r="D102" s="3" t="str">
        <f aca="false">IF(B102=C102,"Correct","Incorrect")</f>
        <v>Correct</v>
      </c>
    </row>
    <row r="103" customFormat="false" ht="15" hidden="false" customHeight="false" outlineLevel="0" collapsed="false">
      <c r="A103" s="18" t="s">
        <v>276</v>
      </c>
      <c r="B103" s="3" t="s">
        <v>152</v>
      </c>
      <c r="C103" s="3" t="s">
        <v>152</v>
      </c>
      <c r="D103" s="3" t="str">
        <f aca="false">IF(B103=C103,"Correct","Incorrect")</f>
        <v>Correct</v>
      </c>
    </row>
    <row r="104" customFormat="false" ht="15" hidden="false" customHeight="false" outlineLevel="0" collapsed="false">
      <c r="A104" s="18" t="s">
        <v>277</v>
      </c>
      <c r="B104" s="3" t="s">
        <v>144</v>
      </c>
      <c r="C104" s="3" t="s">
        <v>144</v>
      </c>
      <c r="D104" s="3" t="str">
        <f aca="false">IF(B104=C104,"Correct","Incorrect")</f>
        <v>Correct</v>
      </c>
    </row>
    <row r="105" customFormat="false" ht="15" hidden="false" customHeight="false" outlineLevel="0" collapsed="false">
      <c r="A105" s="18" t="s">
        <v>278</v>
      </c>
      <c r="B105" s="3" t="s">
        <v>164</v>
      </c>
      <c r="C105" s="3" t="s">
        <v>164</v>
      </c>
      <c r="D105" s="3" t="str">
        <f aca="false">IF(B105=C105,"Correct","Incorrect")</f>
        <v>Correct</v>
      </c>
    </row>
    <row r="106" customFormat="false" ht="15" hidden="false" customHeight="false" outlineLevel="0" collapsed="false">
      <c r="A106" s="18" t="s">
        <v>279</v>
      </c>
      <c r="B106" s="3" t="s">
        <v>154</v>
      </c>
      <c r="C106" s="3" t="s">
        <v>154</v>
      </c>
      <c r="D106" s="3" t="str">
        <f aca="false">IF(B106=C106,"Correct","Incorrect")</f>
        <v>Correct</v>
      </c>
    </row>
    <row r="107" customFormat="false" ht="17.15" hidden="false" customHeight="false" outlineLevel="0" collapsed="false">
      <c r="A107" s="17" t="s">
        <v>280</v>
      </c>
      <c r="B107" s="3" t="s">
        <v>150</v>
      </c>
      <c r="C107" s="3" t="s">
        <v>150</v>
      </c>
      <c r="D107" s="3" t="str">
        <f aca="false">IF(B107=C107,"Correct","Incorrect")</f>
        <v>Correct</v>
      </c>
    </row>
    <row r="108" customFormat="false" ht="17.15" hidden="false" customHeight="false" outlineLevel="0" collapsed="false">
      <c r="A108" s="17" t="s">
        <v>281</v>
      </c>
      <c r="B108" s="3" t="s">
        <v>209</v>
      </c>
      <c r="C108" s="3" t="s">
        <v>209</v>
      </c>
      <c r="D108" s="3" t="str">
        <f aca="false">IF(B108=C108,"Correct","Incorrect")</f>
        <v>Correct</v>
      </c>
    </row>
    <row r="109" customFormat="false" ht="17.15" hidden="false" customHeight="false" outlineLevel="0" collapsed="false">
      <c r="A109" s="17" t="s">
        <v>282</v>
      </c>
      <c r="B109" s="3" t="s">
        <v>253</v>
      </c>
      <c r="C109" s="3" t="s">
        <v>253</v>
      </c>
      <c r="D109" s="3" t="str">
        <f aca="false">IF(B109=C109,"Correct","Incorrect")</f>
        <v>Correct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2" min="2" style="0" width="40"/>
    <col collapsed="false" customWidth="true" hidden="false" outlineLevel="0" max="6" min="3" style="0" width="24"/>
  </cols>
  <sheetData>
    <row r="1" customFormat="false" ht="48" hidden="false" customHeight="true" outlineLevel="0" collapsed="false">
      <c r="A1" s="4" t="s">
        <v>283</v>
      </c>
      <c r="B1" s="4" t="s">
        <v>284</v>
      </c>
      <c r="C1" s="4" t="s">
        <v>285</v>
      </c>
      <c r="D1" s="4" t="s">
        <v>286</v>
      </c>
      <c r="E1" s="4" t="s">
        <v>287</v>
      </c>
      <c r="F1" s="4" t="s">
        <v>288</v>
      </c>
    </row>
    <row r="2" customFormat="false" ht="15" hidden="false" customHeight="false" outlineLevel="0" collapsed="false">
      <c r="A2" s="19" t="s">
        <v>289</v>
      </c>
      <c r="B2" s="19" t="s">
        <v>290</v>
      </c>
      <c r="C2" s="3" t="n">
        <v>1</v>
      </c>
      <c r="D2" s="3" t="n">
        <v>1</v>
      </c>
      <c r="E2" s="3" t="n">
        <v>1</v>
      </c>
      <c r="F2" s="3" t="n">
        <v>1</v>
      </c>
    </row>
    <row r="3" customFormat="false" ht="15" hidden="false" customHeight="false" outlineLevel="0" collapsed="false">
      <c r="A3" s="19" t="s">
        <v>291</v>
      </c>
      <c r="B3" s="19" t="s">
        <v>290</v>
      </c>
      <c r="C3" s="3" t="n">
        <v>2</v>
      </c>
      <c r="D3" s="3" t="n">
        <v>2</v>
      </c>
      <c r="E3" s="3" t="n">
        <v>3</v>
      </c>
      <c r="F3" s="3" t="n">
        <v>2</v>
      </c>
    </row>
    <row r="4" customFormat="false" ht="15" hidden="false" customHeight="false" outlineLevel="0" collapsed="false">
      <c r="A4" s="19" t="s">
        <v>292</v>
      </c>
      <c r="B4" s="19" t="s">
        <v>293</v>
      </c>
      <c r="C4" s="3" t="n">
        <v>3</v>
      </c>
      <c r="D4" s="3" t="n">
        <v>3</v>
      </c>
      <c r="E4" s="3" t="n">
        <v>4</v>
      </c>
      <c r="F4" s="3" t="n">
        <v>3</v>
      </c>
    </row>
    <row r="5" customFormat="false" ht="15" hidden="false" customHeight="false" outlineLevel="0" collapsed="false">
      <c r="A5" s="19" t="s">
        <v>294</v>
      </c>
      <c r="B5" s="19" t="s">
        <v>293</v>
      </c>
      <c r="C5" s="3" t="n">
        <v>1</v>
      </c>
      <c r="D5" s="3" t="n">
        <v>1</v>
      </c>
      <c r="E5" s="3" t="n">
        <v>1</v>
      </c>
      <c r="F5" s="3" t="n">
        <v>1</v>
      </c>
    </row>
    <row r="6" customFormat="false" ht="15" hidden="false" customHeight="false" outlineLevel="0" collapsed="false">
      <c r="A6" s="19" t="s">
        <v>295</v>
      </c>
      <c r="B6" s="19" t="s">
        <v>296</v>
      </c>
      <c r="C6" s="3" t="n">
        <v>6</v>
      </c>
      <c r="D6" s="3" t="n">
        <v>8</v>
      </c>
      <c r="E6" s="3" t="n">
        <v>8</v>
      </c>
      <c r="F6" s="3" t="n">
        <v>9</v>
      </c>
    </row>
    <row r="7" customFormat="false" ht="15" hidden="false" customHeight="false" outlineLevel="0" collapsed="false">
      <c r="A7" s="19" t="s">
        <v>297</v>
      </c>
      <c r="B7" s="19" t="s">
        <v>296</v>
      </c>
      <c r="C7" s="3" t="n">
        <v>1</v>
      </c>
      <c r="D7" s="3" t="n">
        <v>1</v>
      </c>
      <c r="E7" s="3" t="n">
        <v>1</v>
      </c>
      <c r="F7" s="3" t="n">
        <v>1</v>
      </c>
    </row>
    <row r="8" customFormat="false" ht="15" hidden="false" customHeight="false" outlineLevel="0" collapsed="false">
      <c r="A8" s="19" t="s">
        <v>298</v>
      </c>
      <c r="B8" s="19" t="s">
        <v>299</v>
      </c>
      <c r="C8" s="3" t="n">
        <v>1</v>
      </c>
      <c r="D8" s="3" t="n">
        <v>1</v>
      </c>
      <c r="E8" s="3" t="n">
        <v>1</v>
      </c>
      <c r="F8" s="3" t="n">
        <v>1</v>
      </c>
    </row>
    <row r="9" customFormat="false" ht="15" hidden="false" customHeight="false" outlineLevel="0" collapsed="false">
      <c r="A9" s="19" t="s">
        <v>300</v>
      </c>
      <c r="B9" s="19" t="s">
        <v>299</v>
      </c>
      <c r="C9" s="3" t="n">
        <v>2</v>
      </c>
      <c r="D9" s="3" t="n">
        <v>2</v>
      </c>
      <c r="E9" s="3" t="n">
        <v>1</v>
      </c>
      <c r="F9" s="3" t="n">
        <v>2</v>
      </c>
    </row>
    <row r="10" customFormat="false" ht="15" hidden="false" customHeight="false" outlineLevel="0" collapsed="false">
      <c r="A10" s="19" t="s">
        <v>301</v>
      </c>
      <c r="B10" s="19" t="s">
        <v>302</v>
      </c>
      <c r="C10" s="3" t="n">
        <v>1</v>
      </c>
      <c r="D10" s="3" t="n">
        <v>1</v>
      </c>
      <c r="E10" s="3" t="n">
        <v>1</v>
      </c>
      <c r="F10" s="3" t="n">
        <v>1</v>
      </c>
    </row>
    <row r="11" customFormat="false" ht="15" hidden="false" customHeight="false" outlineLevel="0" collapsed="false">
      <c r="A11" s="19" t="s">
        <v>303</v>
      </c>
      <c r="B11" s="19" t="s">
        <v>302</v>
      </c>
      <c r="C11" s="3" t="n">
        <v>1</v>
      </c>
      <c r="D11" s="3" t="n">
        <v>1</v>
      </c>
      <c r="E11" s="3" t="n">
        <v>1</v>
      </c>
      <c r="F11" s="3" t="n">
        <v>1</v>
      </c>
    </row>
    <row r="12" customFormat="false" ht="17.15" hidden="false" customHeight="false" outlineLevel="0" collapsed="false">
      <c r="A12" s="19" t="s">
        <v>304</v>
      </c>
      <c r="B12" s="3" t="s">
        <v>305</v>
      </c>
      <c r="C12" s="3" t="n">
        <v>1</v>
      </c>
      <c r="D12" s="3" t="n">
        <v>1</v>
      </c>
      <c r="E12" s="3" t="n">
        <v>1</v>
      </c>
      <c r="F12" s="3" t="n">
        <v>1</v>
      </c>
    </row>
    <row r="13" customFormat="false" ht="17.15" hidden="false" customHeight="false" outlineLevel="0" collapsed="false">
      <c r="A13" s="19" t="s">
        <v>306</v>
      </c>
      <c r="B13" s="3" t="s">
        <v>305</v>
      </c>
      <c r="C13" s="3" t="n">
        <v>1</v>
      </c>
      <c r="D13" s="3" t="n">
        <v>1</v>
      </c>
      <c r="E13" s="3" t="n">
        <v>1</v>
      </c>
      <c r="F13" s="3" t="n">
        <v>2</v>
      </c>
    </row>
    <row r="14" customFormat="false" ht="15" hidden="false" customHeight="false" outlineLevel="0" collapsed="false">
      <c r="A14" s="19" t="s">
        <v>307</v>
      </c>
      <c r="B14" s="19" t="s">
        <v>308</v>
      </c>
      <c r="C14" s="3" t="n">
        <v>1</v>
      </c>
      <c r="D14" s="3" t="n">
        <v>1</v>
      </c>
      <c r="E14" s="3" t="n">
        <v>1</v>
      </c>
      <c r="F14" s="3" t="n">
        <v>1</v>
      </c>
    </row>
    <row r="15" customFormat="false" ht="15" hidden="false" customHeight="false" outlineLevel="0" collapsed="false">
      <c r="A15" s="19" t="s">
        <v>309</v>
      </c>
      <c r="B15" s="19" t="s">
        <v>308</v>
      </c>
      <c r="C15" s="3" t="n">
        <v>1</v>
      </c>
      <c r="D15" s="3" t="n">
        <v>1</v>
      </c>
      <c r="E15" s="3" t="n">
        <v>1</v>
      </c>
      <c r="F15" s="3" t="n">
        <v>1</v>
      </c>
    </row>
    <row r="16" customFormat="false" ht="17.15" hidden="false" customHeight="false" outlineLevel="0" collapsed="false">
      <c r="A16" s="19" t="s">
        <v>310</v>
      </c>
      <c r="B16" s="19" t="s">
        <v>311</v>
      </c>
      <c r="C16" s="3" t="n">
        <v>4</v>
      </c>
      <c r="D16" s="3" t="n">
        <v>7</v>
      </c>
      <c r="E16" s="3" t="n">
        <v>8</v>
      </c>
      <c r="F16" s="3" t="n">
        <v>6</v>
      </c>
    </row>
    <row r="17" customFormat="false" ht="17.15" hidden="false" customHeight="false" outlineLevel="0" collapsed="false">
      <c r="A17" s="19" t="s">
        <v>312</v>
      </c>
      <c r="B17" s="19" t="s">
        <v>311</v>
      </c>
      <c r="C17" s="3" t="n">
        <v>1</v>
      </c>
      <c r="D17" s="3" t="n">
        <v>1</v>
      </c>
      <c r="E17" s="3" t="n">
        <v>1</v>
      </c>
      <c r="F17" s="3" t="n">
        <v>1</v>
      </c>
    </row>
    <row r="18" customFormat="false" ht="15" hidden="false" customHeight="false" outlineLevel="0" collapsed="false">
      <c r="A18" s="19" t="s">
        <v>313</v>
      </c>
      <c r="B18" s="19" t="s">
        <v>314</v>
      </c>
      <c r="C18" s="3" t="n">
        <v>1</v>
      </c>
      <c r="D18" s="3" t="n">
        <v>1</v>
      </c>
      <c r="E18" s="3" t="n">
        <v>1</v>
      </c>
      <c r="F18" s="3" t="n">
        <v>1</v>
      </c>
    </row>
    <row r="19" customFormat="false" ht="15" hidden="false" customHeight="false" outlineLevel="0" collapsed="false">
      <c r="A19" s="19" t="s">
        <v>315</v>
      </c>
      <c r="B19" s="19" t="s">
        <v>314</v>
      </c>
      <c r="C19" s="3" t="n">
        <v>1</v>
      </c>
      <c r="D19" s="3" t="n">
        <v>1</v>
      </c>
      <c r="E19" s="3" t="n">
        <v>1</v>
      </c>
      <c r="F19" s="3" t="n">
        <v>1</v>
      </c>
    </row>
    <row r="20" customFormat="false" ht="15" hidden="false" customHeight="false" outlineLevel="0" collapsed="false">
      <c r="A20" s="19" t="s">
        <v>316</v>
      </c>
      <c r="B20" s="19" t="s">
        <v>317</v>
      </c>
      <c r="C20" s="3" t="n">
        <v>1</v>
      </c>
      <c r="D20" s="3" t="n">
        <v>1</v>
      </c>
      <c r="E20" s="3" t="n">
        <v>1</v>
      </c>
      <c r="F20" s="3" t="n">
        <v>1</v>
      </c>
    </row>
    <row r="21" customFormat="false" ht="15" hidden="false" customHeight="false" outlineLevel="0" collapsed="false">
      <c r="A21" s="19" t="s">
        <v>318</v>
      </c>
      <c r="B21" s="19" t="s">
        <v>317</v>
      </c>
      <c r="C21" s="3" t="n">
        <v>1</v>
      </c>
      <c r="D21" s="3" t="n">
        <v>1</v>
      </c>
      <c r="E21" s="3" t="n">
        <v>1</v>
      </c>
      <c r="F21" s="3" t="n">
        <v>1</v>
      </c>
    </row>
    <row r="22" customFormat="false" ht="15" hidden="false" customHeight="false" outlineLevel="0" collapsed="false">
      <c r="A22" s="19" t="s">
        <v>319</v>
      </c>
      <c r="B22" s="19" t="s">
        <v>320</v>
      </c>
      <c r="C22" s="3" t="n">
        <v>1</v>
      </c>
      <c r="D22" s="3" t="n">
        <v>1</v>
      </c>
      <c r="E22" s="3" t="n">
        <v>1</v>
      </c>
      <c r="F22" s="3" t="n">
        <v>3</v>
      </c>
    </row>
    <row r="23" customFormat="false" ht="15" hidden="false" customHeight="false" outlineLevel="0" collapsed="false">
      <c r="A23" s="19" t="s">
        <v>321</v>
      </c>
      <c r="B23" s="19" t="s">
        <v>320</v>
      </c>
      <c r="C23" s="3" t="n">
        <v>1</v>
      </c>
      <c r="D23" s="3" t="n">
        <v>1</v>
      </c>
      <c r="E23" s="3" t="n">
        <v>2</v>
      </c>
      <c r="F23" s="3" t="n">
        <v>3</v>
      </c>
    </row>
    <row r="24" customFormat="false" ht="15" hidden="false" customHeight="false" outlineLevel="0" collapsed="false">
      <c r="A24" s="19" t="s">
        <v>322</v>
      </c>
      <c r="B24" s="19" t="s">
        <v>323</v>
      </c>
      <c r="C24" s="3" t="n">
        <v>12</v>
      </c>
      <c r="D24" s="3" t="n">
        <v>16</v>
      </c>
      <c r="E24" s="3" t="n">
        <v>14</v>
      </c>
      <c r="F24" s="3" t="n">
        <v>13</v>
      </c>
    </row>
    <row r="25" customFormat="false" ht="15" hidden="false" customHeight="false" outlineLevel="0" collapsed="false">
      <c r="A25" s="19" t="s">
        <v>324</v>
      </c>
      <c r="B25" s="19" t="s">
        <v>323</v>
      </c>
      <c r="C25" s="3" t="n">
        <v>1</v>
      </c>
      <c r="D25" s="3" t="n">
        <v>1</v>
      </c>
      <c r="E25" s="3" t="n">
        <v>1</v>
      </c>
      <c r="F25" s="3" t="n">
        <v>1</v>
      </c>
    </row>
    <row r="26" customFormat="false" ht="15" hidden="false" customHeight="false" outlineLevel="0" collapsed="false">
      <c r="A26" s="19" t="s">
        <v>325</v>
      </c>
      <c r="B26" s="19" t="s">
        <v>326</v>
      </c>
      <c r="C26" s="3" t="n">
        <v>2</v>
      </c>
      <c r="D26" s="3" t="n">
        <v>2</v>
      </c>
      <c r="E26" s="3" t="n">
        <v>1</v>
      </c>
      <c r="F26" s="3" t="n">
        <v>2</v>
      </c>
    </row>
    <row r="27" customFormat="false" ht="15" hidden="false" customHeight="false" outlineLevel="0" collapsed="false">
      <c r="A27" s="19" t="s">
        <v>327</v>
      </c>
      <c r="B27" s="19" t="s">
        <v>326</v>
      </c>
      <c r="C27" s="3" t="n">
        <v>3</v>
      </c>
      <c r="D27" s="3" t="n">
        <v>3</v>
      </c>
      <c r="E27" s="3" t="n">
        <v>3</v>
      </c>
      <c r="F27" s="3" t="n">
        <v>5</v>
      </c>
    </row>
    <row r="28" customFormat="false" ht="15" hidden="false" customHeight="false" outlineLevel="0" collapsed="false">
      <c r="A28" s="19" t="s">
        <v>328</v>
      </c>
      <c r="B28" s="19" t="s">
        <v>329</v>
      </c>
      <c r="C28" s="3" t="n">
        <v>1</v>
      </c>
      <c r="D28" s="3" t="n">
        <v>1</v>
      </c>
      <c r="E28" s="3" t="n">
        <v>1</v>
      </c>
      <c r="F28" s="3" t="n">
        <v>1</v>
      </c>
    </row>
    <row r="29" customFormat="false" ht="15" hidden="false" customHeight="false" outlineLevel="0" collapsed="false">
      <c r="A29" s="19" t="s">
        <v>330</v>
      </c>
      <c r="B29" s="19" t="s">
        <v>329</v>
      </c>
      <c r="C29" s="3" t="n">
        <v>2</v>
      </c>
      <c r="D29" s="3" t="n">
        <v>1</v>
      </c>
      <c r="E29" s="3" t="n">
        <v>3</v>
      </c>
      <c r="F29" s="3" t="n">
        <v>1</v>
      </c>
    </row>
    <row r="30" customFormat="false" ht="15" hidden="false" customHeight="false" outlineLevel="0" collapsed="false">
      <c r="A30" s="19" t="s">
        <v>331</v>
      </c>
      <c r="B30" s="19" t="s">
        <v>332</v>
      </c>
      <c r="C30" s="3" t="n">
        <v>1</v>
      </c>
      <c r="D30" s="3" t="n">
        <v>1</v>
      </c>
      <c r="E30" s="3" t="n">
        <v>1</v>
      </c>
      <c r="F30" s="3" t="n">
        <v>1</v>
      </c>
    </row>
    <row r="31" customFormat="false" ht="15" hidden="false" customHeight="false" outlineLevel="0" collapsed="false">
      <c r="A31" s="19" t="s">
        <v>333</v>
      </c>
      <c r="B31" s="19" t="s">
        <v>332</v>
      </c>
      <c r="C31" s="3" t="n">
        <v>1</v>
      </c>
      <c r="D31" s="3" t="n">
        <v>1</v>
      </c>
      <c r="E31" s="3" t="n">
        <v>1</v>
      </c>
      <c r="F31" s="3" t="n">
        <v>1</v>
      </c>
    </row>
    <row r="32" customFormat="false" ht="15" hidden="false" customHeight="false" outlineLevel="0" collapsed="false">
      <c r="A32" s="19" t="s">
        <v>334</v>
      </c>
      <c r="B32" s="19" t="s">
        <v>335</v>
      </c>
      <c r="C32" s="3" t="n">
        <v>1</v>
      </c>
      <c r="D32" s="3" t="n">
        <v>1</v>
      </c>
      <c r="E32" s="3" t="n">
        <v>1</v>
      </c>
      <c r="F32" s="3" t="n">
        <v>1</v>
      </c>
    </row>
    <row r="33" customFormat="false" ht="15" hidden="false" customHeight="false" outlineLevel="0" collapsed="false">
      <c r="A33" s="19" t="s">
        <v>336</v>
      </c>
      <c r="B33" s="19" t="s">
        <v>335</v>
      </c>
      <c r="C33" s="3" t="n">
        <v>2</v>
      </c>
      <c r="D33" s="3" t="n">
        <v>2</v>
      </c>
      <c r="E33" s="3" t="n">
        <v>2</v>
      </c>
      <c r="F33" s="3" t="n">
        <v>2</v>
      </c>
    </row>
    <row r="34" customFormat="false" ht="15" hidden="false" customHeight="false" outlineLevel="0" collapsed="false">
      <c r="A34" s="19" t="s">
        <v>337</v>
      </c>
      <c r="B34" s="19" t="s">
        <v>338</v>
      </c>
      <c r="C34" s="3" t="n">
        <v>1</v>
      </c>
      <c r="D34" s="3" t="n">
        <v>1</v>
      </c>
      <c r="E34" s="3" t="n">
        <v>1</v>
      </c>
      <c r="F34" s="3" t="n">
        <v>2</v>
      </c>
    </row>
    <row r="35" customFormat="false" ht="15" hidden="false" customHeight="false" outlineLevel="0" collapsed="false">
      <c r="A35" s="19" t="s">
        <v>339</v>
      </c>
      <c r="B35" s="19" t="s">
        <v>338</v>
      </c>
      <c r="C35" s="3" t="n">
        <v>6</v>
      </c>
      <c r="D35" s="3" t="n">
        <v>5</v>
      </c>
      <c r="E35" s="3" t="n">
        <v>5</v>
      </c>
      <c r="F35" s="3" t="n">
        <v>4</v>
      </c>
    </row>
    <row r="36" customFormat="false" ht="15" hidden="false" customHeight="false" outlineLevel="0" collapsed="false">
      <c r="A36" s="19" t="s">
        <v>340</v>
      </c>
      <c r="B36" s="19" t="s">
        <v>341</v>
      </c>
      <c r="C36" s="3" t="n">
        <v>1</v>
      </c>
      <c r="D36" s="3" t="n">
        <v>1</v>
      </c>
      <c r="E36" s="3" t="n">
        <v>1</v>
      </c>
      <c r="F36" s="3" t="n">
        <v>1</v>
      </c>
    </row>
    <row r="37" customFormat="false" ht="15" hidden="false" customHeight="false" outlineLevel="0" collapsed="false">
      <c r="A37" s="19" t="s">
        <v>342</v>
      </c>
      <c r="B37" s="19" t="s">
        <v>341</v>
      </c>
      <c r="C37" s="3" t="n">
        <v>1</v>
      </c>
      <c r="D37" s="3" t="n">
        <v>1</v>
      </c>
      <c r="E37" s="3" t="n">
        <v>1</v>
      </c>
      <c r="F37" s="3" t="n">
        <v>1</v>
      </c>
    </row>
    <row r="38" customFormat="false" ht="15" hidden="false" customHeight="false" outlineLevel="0" collapsed="false">
      <c r="A38" s="19" t="s">
        <v>343</v>
      </c>
      <c r="B38" s="19" t="s">
        <v>344</v>
      </c>
      <c r="C38" s="3" t="n">
        <v>1</v>
      </c>
      <c r="D38" s="3" t="n">
        <v>1</v>
      </c>
      <c r="E38" s="3" t="n">
        <v>1</v>
      </c>
      <c r="F38" s="3" t="n">
        <v>1</v>
      </c>
    </row>
    <row r="39" customFormat="false" ht="15" hidden="false" customHeight="false" outlineLevel="0" collapsed="false">
      <c r="A39" s="19" t="s">
        <v>345</v>
      </c>
      <c r="B39" s="19" t="s">
        <v>344</v>
      </c>
      <c r="C39" s="3" t="n">
        <v>1</v>
      </c>
      <c r="D39" s="3" t="n">
        <v>1</v>
      </c>
      <c r="E39" s="3" t="n">
        <v>1</v>
      </c>
      <c r="F39" s="3" t="n">
        <v>1</v>
      </c>
    </row>
    <row r="40" customFormat="false" ht="17.15" hidden="false" customHeight="false" outlineLevel="0" collapsed="false">
      <c r="A40" s="19" t="s">
        <v>346</v>
      </c>
      <c r="B40" s="19" t="s">
        <v>347</v>
      </c>
      <c r="C40" s="3" t="n">
        <v>3</v>
      </c>
      <c r="D40" s="3" t="n">
        <v>3</v>
      </c>
      <c r="E40" s="3" t="n">
        <v>2</v>
      </c>
      <c r="F40" s="3" t="n">
        <v>2</v>
      </c>
    </row>
    <row r="41" customFormat="false" ht="17.15" hidden="false" customHeight="false" outlineLevel="0" collapsed="false">
      <c r="A41" s="3" t="s">
        <v>348</v>
      </c>
      <c r="B41" s="19" t="s">
        <v>347</v>
      </c>
      <c r="C41" s="3" t="n">
        <v>1</v>
      </c>
      <c r="D41" s="3" t="n">
        <v>1</v>
      </c>
      <c r="E41" s="3" t="n">
        <v>1</v>
      </c>
      <c r="F41" s="3" t="n">
        <v>1</v>
      </c>
    </row>
    <row r="42" customFormat="false" ht="15" hidden="false" customHeight="false" outlineLevel="0" collapsed="false">
      <c r="A42" s="19" t="s">
        <v>349</v>
      </c>
      <c r="B42" s="19" t="s">
        <v>350</v>
      </c>
      <c r="C42" s="3" t="n">
        <v>1</v>
      </c>
      <c r="D42" s="3" t="n">
        <v>1</v>
      </c>
      <c r="E42" s="3" t="n">
        <v>1</v>
      </c>
      <c r="F42" s="3" t="n">
        <v>1</v>
      </c>
    </row>
    <row r="43" customFormat="false" ht="15" hidden="false" customHeight="false" outlineLevel="0" collapsed="false">
      <c r="A43" s="19" t="s">
        <v>351</v>
      </c>
      <c r="B43" s="19" t="s">
        <v>350</v>
      </c>
      <c r="C43" s="3" t="n">
        <v>1</v>
      </c>
      <c r="D43" s="3" t="n">
        <v>1</v>
      </c>
      <c r="E43" s="3" t="n">
        <v>1</v>
      </c>
      <c r="F43" s="3" t="n">
        <v>1</v>
      </c>
    </row>
    <row r="44" customFormat="false" ht="15" hidden="false" customHeight="false" outlineLevel="0" collapsed="false">
      <c r="A44" s="19" t="s">
        <v>352</v>
      </c>
      <c r="B44" s="19" t="s">
        <v>353</v>
      </c>
      <c r="C44" s="3" t="n">
        <v>1</v>
      </c>
      <c r="D44" s="3" t="n">
        <v>1</v>
      </c>
      <c r="E44" s="3" t="n">
        <v>1</v>
      </c>
      <c r="F44" s="3" t="n">
        <v>1</v>
      </c>
    </row>
    <row r="45" customFormat="false" ht="15" hidden="false" customHeight="false" outlineLevel="0" collapsed="false">
      <c r="A45" s="19" t="s">
        <v>354</v>
      </c>
      <c r="B45" s="19" t="s">
        <v>353</v>
      </c>
      <c r="C45" s="3" t="n">
        <v>1</v>
      </c>
      <c r="D45" s="3" t="n">
        <v>1</v>
      </c>
      <c r="E45" s="3" t="n">
        <v>1</v>
      </c>
      <c r="F45" s="3" t="n">
        <v>1</v>
      </c>
    </row>
    <row r="46" customFormat="false" ht="15" hidden="false" customHeight="false" outlineLevel="0" collapsed="false">
      <c r="A46" s="19" t="s">
        <v>355</v>
      </c>
      <c r="B46" s="19" t="s">
        <v>356</v>
      </c>
      <c r="C46" s="3" t="n">
        <v>9</v>
      </c>
      <c r="D46" s="3" t="n">
        <v>13</v>
      </c>
      <c r="E46" s="3" t="n">
        <v>15</v>
      </c>
      <c r="F46" s="3" t="n">
        <v>13</v>
      </c>
    </row>
    <row r="47" customFormat="false" ht="15" hidden="false" customHeight="false" outlineLevel="0" collapsed="false">
      <c r="A47" s="19" t="s">
        <v>357</v>
      </c>
      <c r="B47" s="19" t="s">
        <v>356</v>
      </c>
      <c r="C47" s="3" t="n">
        <v>1</v>
      </c>
      <c r="D47" s="3" t="n">
        <v>1</v>
      </c>
      <c r="E47" s="3" t="n">
        <v>2</v>
      </c>
      <c r="F47" s="3" t="n">
        <v>1</v>
      </c>
    </row>
    <row r="48" customFormat="false" ht="15" hidden="false" customHeight="false" outlineLevel="0" collapsed="false">
      <c r="A48" s="19" t="s">
        <v>358</v>
      </c>
      <c r="B48" s="19" t="s">
        <v>359</v>
      </c>
      <c r="C48" s="3" t="n">
        <v>1</v>
      </c>
      <c r="D48" s="3" t="n">
        <v>1</v>
      </c>
      <c r="E48" s="3" t="n">
        <v>1</v>
      </c>
      <c r="F48" s="3" t="n">
        <v>1</v>
      </c>
    </row>
    <row r="49" customFormat="false" ht="15" hidden="false" customHeight="false" outlineLevel="0" collapsed="false">
      <c r="A49" s="19" t="s">
        <v>360</v>
      </c>
      <c r="B49" s="19" t="s">
        <v>359</v>
      </c>
      <c r="C49" s="3" t="n">
        <v>1</v>
      </c>
      <c r="D49" s="3" t="n">
        <v>1</v>
      </c>
      <c r="E49" s="3" t="n">
        <v>1</v>
      </c>
      <c r="F49" s="3" t="n">
        <v>1</v>
      </c>
    </row>
    <row r="50" customFormat="false" ht="15" hidden="false" customHeight="false" outlineLevel="0" collapsed="false">
      <c r="A50" s="19" t="s">
        <v>361</v>
      </c>
      <c r="B50" s="19" t="s">
        <v>362</v>
      </c>
      <c r="C50" s="3" t="n">
        <v>1</v>
      </c>
      <c r="D50" s="3" t="n">
        <v>1</v>
      </c>
      <c r="E50" s="3" t="n">
        <v>1</v>
      </c>
      <c r="F50" s="3" t="n">
        <v>1</v>
      </c>
    </row>
    <row r="51" customFormat="false" ht="15" hidden="false" customHeight="false" outlineLevel="0" collapsed="false">
      <c r="A51" s="19" t="s">
        <v>363</v>
      </c>
      <c r="B51" s="19" t="s">
        <v>362</v>
      </c>
      <c r="C51" s="3" t="n">
        <v>1</v>
      </c>
      <c r="D51" s="3" t="n">
        <v>1</v>
      </c>
      <c r="E51" s="3" t="n">
        <v>1</v>
      </c>
      <c r="F51" s="3" t="n">
        <v>1</v>
      </c>
    </row>
    <row r="52" customFormat="false" ht="15" hidden="false" customHeight="false" outlineLevel="0" collapsed="false">
      <c r="A52" s="19" t="s">
        <v>364</v>
      </c>
      <c r="B52" s="19" t="s">
        <v>365</v>
      </c>
      <c r="C52" s="3" t="n">
        <v>1</v>
      </c>
      <c r="D52" s="3" t="n">
        <v>1</v>
      </c>
      <c r="E52" s="3" t="n">
        <v>1</v>
      </c>
      <c r="F52" s="3" t="n">
        <v>1</v>
      </c>
    </row>
    <row r="53" customFormat="false" ht="15" hidden="false" customHeight="false" outlineLevel="0" collapsed="false">
      <c r="A53" s="19" t="s">
        <v>366</v>
      </c>
      <c r="B53" s="19" t="s">
        <v>365</v>
      </c>
      <c r="C53" s="3" t="n">
        <v>1</v>
      </c>
      <c r="D53" s="3" t="n">
        <v>1</v>
      </c>
      <c r="E53" s="3" t="n">
        <v>1</v>
      </c>
      <c r="F53" s="3" t="n">
        <v>1</v>
      </c>
    </row>
    <row r="54" customFormat="false" ht="15" hidden="false" customHeight="false" outlineLevel="0" collapsed="false">
      <c r="A54" s="19" t="s">
        <v>367</v>
      </c>
      <c r="B54" s="19" t="s">
        <v>368</v>
      </c>
      <c r="C54" s="3" t="n">
        <v>1</v>
      </c>
      <c r="D54" s="3" t="n">
        <v>1</v>
      </c>
      <c r="E54" s="3" t="n">
        <v>1</v>
      </c>
      <c r="F54" s="3" t="n">
        <v>1</v>
      </c>
    </row>
    <row r="55" customFormat="false" ht="15" hidden="false" customHeight="false" outlineLevel="0" collapsed="false">
      <c r="A55" s="19" t="s">
        <v>369</v>
      </c>
      <c r="B55" s="19" t="s">
        <v>368</v>
      </c>
      <c r="C55" s="3" t="n">
        <v>1</v>
      </c>
      <c r="D55" s="3" t="n">
        <v>1</v>
      </c>
      <c r="E55" s="3" t="n">
        <v>1</v>
      </c>
      <c r="F55" s="3" t="n">
        <v>1</v>
      </c>
    </row>
    <row r="56" customFormat="false" ht="15" hidden="false" customHeight="false" outlineLevel="0" collapsed="false">
      <c r="A56" s="19" t="s">
        <v>370</v>
      </c>
      <c r="B56" s="19" t="s">
        <v>371</v>
      </c>
      <c r="C56" s="3" t="n">
        <v>1</v>
      </c>
      <c r="D56" s="3" t="n">
        <v>1</v>
      </c>
      <c r="E56" s="3" t="n">
        <v>1</v>
      </c>
      <c r="F56" s="3" t="n">
        <v>1</v>
      </c>
    </row>
    <row r="57" customFormat="false" ht="15" hidden="false" customHeight="false" outlineLevel="0" collapsed="false">
      <c r="A57" s="19" t="s">
        <v>372</v>
      </c>
      <c r="B57" s="19" t="s">
        <v>371</v>
      </c>
      <c r="C57" s="3" t="n">
        <v>3</v>
      </c>
      <c r="D57" s="3" t="n">
        <v>2</v>
      </c>
      <c r="E57" s="3" t="n">
        <v>4</v>
      </c>
      <c r="F57" s="3" t="n">
        <v>3</v>
      </c>
    </row>
    <row r="58" customFormat="false" ht="15" hidden="false" customHeight="false" outlineLevel="0" collapsed="false">
      <c r="A58" s="19" t="s">
        <v>373</v>
      </c>
      <c r="B58" s="19" t="s">
        <v>374</v>
      </c>
      <c r="C58" s="3" t="n">
        <v>7</v>
      </c>
      <c r="D58" s="3" t="n">
        <v>8</v>
      </c>
      <c r="E58" s="3" t="n">
        <v>10</v>
      </c>
      <c r="F58" s="3" t="n">
        <v>17</v>
      </c>
    </row>
    <row r="59" customFormat="false" ht="15" hidden="false" customHeight="false" outlineLevel="0" collapsed="false">
      <c r="A59" s="19" t="s">
        <v>375</v>
      </c>
      <c r="B59" s="19" t="s">
        <v>374</v>
      </c>
      <c r="C59" s="3" t="n">
        <v>1</v>
      </c>
      <c r="D59" s="3" t="n">
        <v>1</v>
      </c>
      <c r="E59" s="3" t="n">
        <v>1</v>
      </c>
      <c r="F59" s="3" t="n">
        <v>1</v>
      </c>
    </row>
    <row r="60" customFormat="false" ht="15" hidden="false" customHeight="false" outlineLevel="0" collapsed="false">
      <c r="A60" s="19" t="s">
        <v>376</v>
      </c>
      <c r="B60" s="19" t="s">
        <v>377</v>
      </c>
      <c r="C60" s="3" t="n">
        <v>1</v>
      </c>
      <c r="D60" s="3" t="n">
        <v>1</v>
      </c>
      <c r="E60" s="3" t="n">
        <v>1</v>
      </c>
      <c r="F60" s="3" t="n">
        <v>1</v>
      </c>
    </row>
    <row r="61" customFormat="false" ht="15" hidden="false" customHeight="false" outlineLevel="0" collapsed="false">
      <c r="A61" s="19" t="s">
        <v>378</v>
      </c>
      <c r="B61" s="19" t="s">
        <v>377</v>
      </c>
      <c r="C61" s="3" t="n">
        <v>1</v>
      </c>
      <c r="D61" s="3" t="n">
        <v>1</v>
      </c>
      <c r="E61" s="3" t="n">
        <v>1</v>
      </c>
      <c r="F61" s="3" t="n">
        <v>1</v>
      </c>
    </row>
    <row r="62" customFormat="false" ht="15" hidden="false" customHeight="false" outlineLevel="0" collapsed="false">
      <c r="A62" s="19" t="s">
        <v>379</v>
      </c>
      <c r="B62" s="19" t="s">
        <v>380</v>
      </c>
      <c r="C62" s="3" t="n">
        <v>1</v>
      </c>
      <c r="D62" s="3" t="n">
        <v>1</v>
      </c>
      <c r="E62" s="3" t="n">
        <v>1</v>
      </c>
      <c r="F62" s="3" t="n">
        <v>1</v>
      </c>
    </row>
    <row r="63" customFormat="false" ht="15" hidden="false" customHeight="false" outlineLevel="0" collapsed="false">
      <c r="A63" s="19" t="s">
        <v>381</v>
      </c>
      <c r="B63" s="19" t="s">
        <v>380</v>
      </c>
      <c r="C63" s="3" t="n">
        <v>1</v>
      </c>
      <c r="D63" s="3" t="n">
        <v>1</v>
      </c>
      <c r="E63" s="3" t="n">
        <v>1</v>
      </c>
      <c r="F63" s="3" t="n">
        <v>1</v>
      </c>
    </row>
    <row r="64" customFormat="false" ht="15" hidden="false" customHeight="false" outlineLevel="0" collapsed="false">
      <c r="A64" s="19" t="s">
        <v>382</v>
      </c>
      <c r="B64" s="19" t="s">
        <v>383</v>
      </c>
      <c r="C64" s="3" t="n">
        <v>1</v>
      </c>
      <c r="D64" s="3" t="n">
        <v>1</v>
      </c>
      <c r="E64" s="3" t="n">
        <v>1</v>
      </c>
      <c r="F64" s="3" t="n">
        <v>1</v>
      </c>
    </row>
    <row r="65" customFormat="false" ht="15" hidden="false" customHeight="false" outlineLevel="0" collapsed="false">
      <c r="A65" s="19" t="s">
        <v>384</v>
      </c>
      <c r="B65" s="19" t="s">
        <v>383</v>
      </c>
      <c r="C65" s="3" t="n">
        <v>1</v>
      </c>
      <c r="D65" s="3" t="n">
        <v>1</v>
      </c>
      <c r="E65" s="3" t="n">
        <v>1</v>
      </c>
      <c r="F65" s="3" t="n">
        <v>1</v>
      </c>
    </row>
    <row r="66" customFormat="false" ht="17.15" hidden="false" customHeight="false" outlineLevel="0" collapsed="false">
      <c r="A66" s="19" t="s">
        <v>385</v>
      </c>
      <c r="B66" s="19" t="s">
        <v>386</v>
      </c>
      <c r="C66" s="3" t="n">
        <v>2</v>
      </c>
      <c r="D66" s="3" t="n">
        <v>2</v>
      </c>
      <c r="E66" s="3" t="n">
        <v>5</v>
      </c>
      <c r="F66" s="3" t="n">
        <v>3</v>
      </c>
    </row>
    <row r="67" customFormat="false" ht="17.15" hidden="false" customHeight="false" outlineLevel="0" collapsed="false">
      <c r="A67" s="19" t="s">
        <v>387</v>
      </c>
      <c r="B67" s="19" t="s">
        <v>386</v>
      </c>
      <c r="C67" s="3" t="n">
        <v>3</v>
      </c>
      <c r="D67" s="3" t="n">
        <v>2</v>
      </c>
      <c r="E67" s="3" t="n">
        <v>3</v>
      </c>
      <c r="F67" s="3" t="n">
        <v>3</v>
      </c>
    </row>
    <row r="68" customFormat="false" ht="15" hidden="false" customHeight="false" outlineLevel="0" collapsed="false">
      <c r="A68" s="19" t="s">
        <v>388</v>
      </c>
      <c r="B68" s="19" t="s">
        <v>389</v>
      </c>
      <c r="C68" s="3" t="n">
        <v>1</v>
      </c>
      <c r="D68" s="3" t="n">
        <v>1</v>
      </c>
      <c r="E68" s="3" t="n">
        <v>1</v>
      </c>
      <c r="F68" s="3" t="n">
        <v>1</v>
      </c>
    </row>
    <row r="69" customFormat="false" ht="15" hidden="false" customHeight="false" outlineLevel="0" collapsed="false">
      <c r="A69" s="19" t="s">
        <v>390</v>
      </c>
      <c r="B69" s="19" t="s">
        <v>389</v>
      </c>
      <c r="C69" s="3" t="n">
        <v>18</v>
      </c>
      <c r="D69" s="3" t="n">
        <v>37</v>
      </c>
      <c r="E69" s="3" t="n">
        <v>10</v>
      </c>
      <c r="F69" s="3" t="n">
        <v>9</v>
      </c>
    </row>
    <row r="70" customFormat="false" ht="15" hidden="false" customHeight="false" outlineLevel="0" collapsed="false">
      <c r="A70" s="19" t="s">
        <v>391</v>
      </c>
      <c r="B70" s="19" t="s">
        <v>392</v>
      </c>
      <c r="C70" s="3" t="n">
        <v>1</v>
      </c>
      <c r="D70" s="3" t="n">
        <v>1</v>
      </c>
      <c r="E70" s="3" t="n">
        <v>1</v>
      </c>
      <c r="F70" s="3" t="n">
        <v>1</v>
      </c>
    </row>
    <row r="71" customFormat="false" ht="15" hidden="false" customHeight="false" outlineLevel="0" collapsed="false">
      <c r="A71" s="19" t="s">
        <v>393</v>
      </c>
      <c r="B71" s="19" t="s">
        <v>392</v>
      </c>
      <c r="C71" s="3" t="n">
        <v>1</v>
      </c>
      <c r="D71" s="3" t="n">
        <v>1</v>
      </c>
      <c r="E71" s="3" t="n">
        <v>1</v>
      </c>
      <c r="F71" s="3" t="n">
        <v>1</v>
      </c>
    </row>
    <row r="72" customFormat="false" ht="15" hidden="false" customHeight="false" outlineLevel="0" collapsed="false">
      <c r="A72" s="19" t="s">
        <v>394</v>
      </c>
      <c r="B72" s="19" t="s">
        <v>395</v>
      </c>
      <c r="C72" s="3" t="n">
        <v>2</v>
      </c>
      <c r="D72" s="3" t="n">
        <v>2</v>
      </c>
      <c r="E72" s="3" t="n">
        <v>1</v>
      </c>
      <c r="F72" s="3" t="n">
        <v>2</v>
      </c>
    </row>
    <row r="73" customFormat="false" ht="15" hidden="false" customHeight="false" outlineLevel="0" collapsed="false">
      <c r="A73" s="19" t="s">
        <v>396</v>
      </c>
      <c r="B73" s="19" t="s">
        <v>395</v>
      </c>
      <c r="C73" s="3" t="n">
        <v>1</v>
      </c>
      <c r="D73" s="3" t="n">
        <v>1</v>
      </c>
      <c r="E73" s="3" t="n">
        <v>1</v>
      </c>
      <c r="F73" s="3" t="n">
        <v>1</v>
      </c>
    </row>
    <row r="74" customFormat="false" ht="15" hidden="false" customHeight="false" outlineLevel="0" collapsed="false">
      <c r="A74" s="19" t="s">
        <v>397</v>
      </c>
      <c r="B74" s="19" t="s">
        <v>398</v>
      </c>
      <c r="C74" s="3" t="n">
        <v>1</v>
      </c>
      <c r="D74" s="3" t="n">
        <v>1</v>
      </c>
      <c r="E74" s="3" t="n">
        <v>1</v>
      </c>
      <c r="F74" s="3" t="n">
        <v>1</v>
      </c>
    </row>
    <row r="75" customFormat="false" ht="15" hidden="false" customHeight="false" outlineLevel="0" collapsed="false">
      <c r="A75" s="19" t="s">
        <v>399</v>
      </c>
      <c r="B75" s="19" t="s">
        <v>398</v>
      </c>
      <c r="C75" s="3" t="n">
        <v>1</v>
      </c>
      <c r="D75" s="3" t="n">
        <v>1</v>
      </c>
      <c r="E75" s="3" t="n">
        <v>1</v>
      </c>
      <c r="F75" s="3" t="n">
        <v>1</v>
      </c>
    </row>
    <row r="76" customFormat="false" ht="15" hidden="false" customHeight="false" outlineLevel="0" collapsed="false">
      <c r="A76" s="19" t="s">
        <v>400</v>
      </c>
      <c r="B76" s="19" t="s">
        <v>401</v>
      </c>
      <c r="C76" s="3" t="n">
        <v>1</v>
      </c>
      <c r="D76" s="3" t="n">
        <v>1</v>
      </c>
      <c r="E76" s="3" t="n">
        <v>1</v>
      </c>
      <c r="F76" s="3" t="n">
        <v>1</v>
      </c>
    </row>
    <row r="77" customFormat="false" ht="15" hidden="false" customHeight="false" outlineLevel="0" collapsed="false">
      <c r="A77" s="19" t="s">
        <v>402</v>
      </c>
      <c r="B77" s="19" t="s">
        <v>401</v>
      </c>
      <c r="C77" s="3" t="n">
        <v>1</v>
      </c>
      <c r="D77" s="3" t="n">
        <v>1</v>
      </c>
      <c r="E77" s="3" t="n">
        <v>2</v>
      </c>
      <c r="F77" s="3" t="n">
        <v>1</v>
      </c>
    </row>
    <row r="78" customFormat="false" ht="15" hidden="false" customHeight="false" outlineLevel="0" collapsed="false">
      <c r="A78" s="19" t="s">
        <v>403</v>
      </c>
      <c r="B78" s="19" t="s">
        <v>404</v>
      </c>
      <c r="C78" s="3" t="n">
        <v>1</v>
      </c>
      <c r="D78" s="3" t="n">
        <v>1</v>
      </c>
      <c r="E78" s="3" t="n">
        <v>1</v>
      </c>
      <c r="F78" s="3" t="n">
        <v>1</v>
      </c>
    </row>
    <row r="79" customFormat="false" ht="15" hidden="false" customHeight="false" outlineLevel="0" collapsed="false">
      <c r="A79" s="19" t="s">
        <v>327</v>
      </c>
      <c r="B79" s="19" t="s">
        <v>404</v>
      </c>
      <c r="C79" s="3" t="n">
        <v>14</v>
      </c>
      <c r="D79" s="3" t="n">
        <v>14</v>
      </c>
      <c r="E79" s="3" t="n">
        <v>11</v>
      </c>
      <c r="F79" s="3" t="n">
        <v>8</v>
      </c>
    </row>
    <row r="80" customFormat="false" ht="17.15" hidden="false" customHeight="false" outlineLevel="0" collapsed="false">
      <c r="A80" s="19" t="s">
        <v>405</v>
      </c>
      <c r="B80" s="19" t="s">
        <v>406</v>
      </c>
      <c r="C80" s="3" t="n">
        <v>1</v>
      </c>
      <c r="D80" s="3" t="n">
        <v>1</v>
      </c>
      <c r="E80" s="3" t="n">
        <v>1</v>
      </c>
      <c r="F80" s="3" t="n">
        <v>1</v>
      </c>
    </row>
    <row r="81" customFormat="false" ht="17.15" hidden="false" customHeight="false" outlineLevel="0" collapsed="false">
      <c r="A81" s="19" t="s">
        <v>407</v>
      </c>
      <c r="B81" s="19" t="s">
        <v>406</v>
      </c>
      <c r="C81" s="3" t="n">
        <v>1</v>
      </c>
      <c r="D81" s="3" t="n">
        <v>1</v>
      </c>
      <c r="E81" s="3" t="n">
        <v>1</v>
      </c>
      <c r="F81" s="3" t="n">
        <v>1</v>
      </c>
    </row>
    <row r="82" customFormat="false" ht="15" hidden="false" customHeight="false" outlineLevel="0" collapsed="false">
      <c r="A82" s="19" t="s">
        <v>408</v>
      </c>
      <c r="B82" s="19" t="s">
        <v>409</v>
      </c>
      <c r="C82" s="3" t="n">
        <v>1</v>
      </c>
      <c r="D82" s="3" t="n">
        <v>1</v>
      </c>
      <c r="E82" s="3" t="n">
        <v>2</v>
      </c>
      <c r="F82" s="3" t="n">
        <v>1</v>
      </c>
    </row>
    <row r="83" customFormat="false" ht="15" hidden="false" customHeight="false" outlineLevel="0" collapsed="false">
      <c r="A83" s="19" t="s">
        <v>410</v>
      </c>
      <c r="B83" s="19" t="s">
        <v>409</v>
      </c>
      <c r="C83" s="3" t="n">
        <v>1</v>
      </c>
      <c r="D83" s="3" t="n">
        <v>1</v>
      </c>
      <c r="E83" s="3" t="n">
        <v>1</v>
      </c>
      <c r="F83" s="3" t="n">
        <v>1</v>
      </c>
    </row>
    <row r="84" customFormat="false" ht="15" hidden="false" customHeight="false" outlineLevel="0" collapsed="false">
      <c r="A84" s="19" t="s">
        <v>411</v>
      </c>
      <c r="B84" s="19" t="s">
        <v>412</v>
      </c>
      <c r="C84" s="3" t="n">
        <v>8</v>
      </c>
      <c r="D84" s="3" t="n">
        <v>8</v>
      </c>
      <c r="E84" s="3" t="n">
        <v>10</v>
      </c>
      <c r="F84" s="3" t="n">
        <v>10</v>
      </c>
    </row>
    <row r="85" customFormat="false" ht="15" hidden="false" customHeight="false" outlineLevel="0" collapsed="false">
      <c r="A85" s="19" t="s">
        <v>413</v>
      </c>
      <c r="B85" s="19" t="s">
        <v>412</v>
      </c>
      <c r="C85" s="3" t="n">
        <v>1</v>
      </c>
      <c r="D85" s="3" t="n">
        <v>1</v>
      </c>
      <c r="E85" s="3" t="n">
        <v>1</v>
      </c>
      <c r="F85" s="3" t="n">
        <v>1</v>
      </c>
    </row>
    <row r="86" customFormat="false" ht="15" hidden="false" customHeight="false" outlineLevel="0" collapsed="false">
      <c r="A86" s="19" t="s">
        <v>414</v>
      </c>
      <c r="B86" s="19" t="s">
        <v>415</v>
      </c>
      <c r="C86" s="3" t="n">
        <v>2</v>
      </c>
      <c r="D86" s="3" t="n">
        <v>2</v>
      </c>
      <c r="E86" s="3" t="n">
        <v>2</v>
      </c>
      <c r="F86" s="3" t="n">
        <v>2</v>
      </c>
    </row>
    <row r="87" customFormat="false" ht="15" hidden="false" customHeight="false" outlineLevel="0" collapsed="false">
      <c r="A87" s="19" t="s">
        <v>416</v>
      </c>
      <c r="B87" s="19" t="s">
        <v>415</v>
      </c>
      <c r="C87" s="3" t="n">
        <v>3</v>
      </c>
      <c r="D87" s="3" t="n">
        <v>2</v>
      </c>
      <c r="E87" s="3" t="n">
        <v>4</v>
      </c>
      <c r="F87" s="3" t="n">
        <v>4</v>
      </c>
    </row>
    <row r="88" customFormat="false" ht="17.15" hidden="false" customHeight="false" outlineLevel="0" collapsed="false">
      <c r="A88" s="19" t="s">
        <v>417</v>
      </c>
      <c r="B88" s="19" t="s">
        <v>418</v>
      </c>
      <c r="C88" s="3" t="n">
        <v>1</v>
      </c>
      <c r="D88" s="3" t="n">
        <v>1</v>
      </c>
      <c r="E88" s="3" t="n">
        <v>1</v>
      </c>
      <c r="F88" s="3" t="n">
        <v>1</v>
      </c>
    </row>
    <row r="89" customFormat="false" ht="17.15" hidden="false" customHeight="false" outlineLevel="0" collapsed="false">
      <c r="A89" s="19" t="s">
        <v>419</v>
      </c>
      <c r="B89" s="19" t="s">
        <v>418</v>
      </c>
      <c r="C89" s="3" t="n">
        <v>1</v>
      </c>
      <c r="D89" s="3" t="n">
        <v>1</v>
      </c>
      <c r="E89" s="3" t="n">
        <v>1</v>
      </c>
      <c r="F89" s="3" t="n">
        <v>1</v>
      </c>
    </row>
    <row r="90" customFormat="false" ht="15" hidden="false" customHeight="false" outlineLevel="0" collapsed="false">
      <c r="A90" s="19" t="s">
        <v>420</v>
      </c>
      <c r="B90" s="19" t="s">
        <v>421</v>
      </c>
      <c r="C90" s="3" t="n">
        <v>1</v>
      </c>
      <c r="D90" s="3" t="n">
        <v>1</v>
      </c>
      <c r="E90" s="3" t="n">
        <v>1</v>
      </c>
      <c r="F90" s="3" t="n">
        <v>1</v>
      </c>
    </row>
    <row r="91" customFormat="false" ht="15" hidden="false" customHeight="false" outlineLevel="0" collapsed="false">
      <c r="A91" s="19" t="s">
        <v>422</v>
      </c>
      <c r="B91" s="19" t="s">
        <v>421</v>
      </c>
      <c r="C91" s="3" t="n">
        <v>1</v>
      </c>
      <c r="D91" s="3" t="n">
        <v>1</v>
      </c>
      <c r="E91" s="3" t="n">
        <v>1</v>
      </c>
      <c r="F91" s="3" t="n">
        <v>1</v>
      </c>
    </row>
    <row r="92" customFormat="false" ht="15" hidden="false" customHeight="false" outlineLevel="0" collapsed="false">
      <c r="A92" s="19" t="s">
        <v>423</v>
      </c>
      <c r="B92" s="19" t="s">
        <v>424</v>
      </c>
      <c r="C92" s="3" t="n">
        <v>9</v>
      </c>
      <c r="D92" s="3" t="n">
        <v>14</v>
      </c>
      <c r="E92" s="3" t="n">
        <v>35</v>
      </c>
      <c r="F92" s="3" t="n">
        <v>7</v>
      </c>
    </row>
    <row r="93" customFormat="false" ht="15" hidden="false" customHeight="false" outlineLevel="0" collapsed="false">
      <c r="A93" s="19" t="s">
        <v>425</v>
      </c>
      <c r="B93" s="19" t="s">
        <v>424</v>
      </c>
      <c r="C93" s="3" t="n">
        <v>1</v>
      </c>
      <c r="D93" s="3" t="n">
        <v>1</v>
      </c>
      <c r="E93" s="3" t="n">
        <v>1</v>
      </c>
      <c r="F93" s="3" t="n">
        <v>1</v>
      </c>
    </row>
    <row r="94" customFormat="false" ht="15" hidden="false" customHeight="false" outlineLevel="0" collapsed="false">
      <c r="A94" s="19" t="s">
        <v>426</v>
      </c>
      <c r="B94" s="19" t="s">
        <v>427</v>
      </c>
      <c r="C94" s="3" t="n">
        <v>1</v>
      </c>
      <c r="D94" s="3" t="n">
        <v>1</v>
      </c>
      <c r="E94" s="3" t="n">
        <v>1</v>
      </c>
      <c r="F94" s="3" t="n">
        <v>1</v>
      </c>
    </row>
    <row r="95" customFormat="false" ht="15" hidden="false" customHeight="false" outlineLevel="0" collapsed="false">
      <c r="A95" s="19" t="s">
        <v>428</v>
      </c>
      <c r="B95" s="19" t="s">
        <v>427</v>
      </c>
      <c r="C95" s="3" t="n">
        <v>1</v>
      </c>
      <c r="D95" s="3" t="n">
        <v>1</v>
      </c>
      <c r="E95" s="3" t="n">
        <v>1</v>
      </c>
      <c r="F95" s="3" t="n">
        <v>1</v>
      </c>
    </row>
    <row r="96" customFormat="false" ht="15" hidden="false" customHeight="false" outlineLevel="0" collapsed="false">
      <c r="A96" s="19" t="s">
        <v>429</v>
      </c>
      <c r="B96" s="19" t="s">
        <v>430</v>
      </c>
      <c r="C96" s="3" t="n">
        <v>2</v>
      </c>
      <c r="D96" s="3" t="n">
        <v>1</v>
      </c>
      <c r="E96" s="3" t="n">
        <v>1</v>
      </c>
      <c r="F96" s="3" t="n">
        <v>2</v>
      </c>
    </row>
    <row r="97" customFormat="false" ht="15" hidden="false" customHeight="false" outlineLevel="0" collapsed="false">
      <c r="A97" s="19" t="s">
        <v>431</v>
      </c>
      <c r="B97" s="19" t="s">
        <v>430</v>
      </c>
      <c r="C97" s="3" t="n">
        <v>3</v>
      </c>
      <c r="D97" s="3" t="n">
        <v>3</v>
      </c>
      <c r="E97" s="3" t="n">
        <v>3</v>
      </c>
      <c r="F97" s="3" t="n">
        <v>3</v>
      </c>
    </row>
    <row r="98" customFormat="false" ht="15" hidden="false" customHeight="false" outlineLevel="0" collapsed="false">
      <c r="A98" s="19" t="s">
        <v>432</v>
      </c>
      <c r="B98" s="19" t="s">
        <v>433</v>
      </c>
      <c r="C98" s="3" t="n">
        <v>1</v>
      </c>
      <c r="D98" s="3" t="n">
        <v>1</v>
      </c>
      <c r="E98" s="3" t="n">
        <v>1</v>
      </c>
      <c r="F98" s="3" t="n">
        <v>1</v>
      </c>
    </row>
    <row r="99" customFormat="false" ht="15" hidden="false" customHeight="false" outlineLevel="0" collapsed="false">
      <c r="A99" s="19" t="s">
        <v>434</v>
      </c>
      <c r="B99" s="19" t="s">
        <v>433</v>
      </c>
      <c r="C99" s="3" t="n">
        <v>1</v>
      </c>
      <c r="D99" s="3" t="n">
        <v>1</v>
      </c>
      <c r="E99" s="3" t="n">
        <v>1</v>
      </c>
      <c r="F99" s="3" t="n">
        <v>1</v>
      </c>
    </row>
    <row r="100" customFormat="false" ht="15" hidden="false" customHeight="false" outlineLevel="0" collapsed="false">
      <c r="A100" s="19" t="s">
        <v>435</v>
      </c>
      <c r="B100" s="19" t="s">
        <v>436</v>
      </c>
      <c r="C100" s="3" t="n">
        <v>3</v>
      </c>
      <c r="D100" s="3" t="n">
        <v>2</v>
      </c>
      <c r="E100" s="3" t="n">
        <v>4</v>
      </c>
      <c r="F100" s="3" t="n">
        <v>2</v>
      </c>
    </row>
    <row r="101" customFormat="false" ht="15" hidden="false" customHeight="false" outlineLevel="0" collapsed="false">
      <c r="A101" s="19" t="s">
        <v>437</v>
      </c>
      <c r="B101" s="19" t="s">
        <v>436</v>
      </c>
      <c r="C101" s="3" t="n">
        <v>1</v>
      </c>
      <c r="D101" s="3" t="n">
        <v>1</v>
      </c>
      <c r="E101" s="3" t="n">
        <v>1</v>
      </c>
      <c r="F101" s="3" t="n">
        <v>1</v>
      </c>
    </row>
    <row r="102" customFormat="false" ht="15" hidden="false" customHeight="false" outlineLevel="0" collapsed="false">
      <c r="A102" s="19" t="s">
        <v>438</v>
      </c>
      <c r="B102" s="19" t="s">
        <v>439</v>
      </c>
      <c r="C102" s="3" t="n">
        <v>1</v>
      </c>
      <c r="D102" s="3" t="n">
        <v>1</v>
      </c>
      <c r="E102" s="3" t="n">
        <v>1</v>
      </c>
      <c r="F102" s="3" t="n">
        <v>1</v>
      </c>
    </row>
    <row r="103" customFormat="false" ht="15" hidden="false" customHeight="false" outlineLevel="0" collapsed="false">
      <c r="A103" s="19" t="s">
        <v>440</v>
      </c>
      <c r="B103" s="19" t="s">
        <v>439</v>
      </c>
      <c r="C103" s="3" t="n">
        <v>1</v>
      </c>
      <c r="D103" s="3" t="n">
        <v>1</v>
      </c>
      <c r="E103" s="3" t="n">
        <v>1</v>
      </c>
      <c r="F103" s="3" t="n">
        <v>1</v>
      </c>
    </row>
    <row r="104" customFormat="false" ht="15" hidden="false" customHeight="false" outlineLevel="0" collapsed="false">
      <c r="A104" s="19" t="s">
        <v>441</v>
      </c>
      <c r="B104" s="19" t="s">
        <v>442</v>
      </c>
      <c r="C104" s="3" t="n">
        <v>1</v>
      </c>
      <c r="D104" s="3" t="n">
        <v>1</v>
      </c>
      <c r="E104" s="3" t="n">
        <v>1</v>
      </c>
      <c r="F104" s="3" t="n">
        <v>1</v>
      </c>
    </row>
    <row r="105" customFormat="false" ht="15" hidden="false" customHeight="false" outlineLevel="0" collapsed="false">
      <c r="A105" s="19" t="s">
        <v>443</v>
      </c>
      <c r="B105" s="19" t="s">
        <v>442</v>
      </c>
      <c r="C105" s="3" t="n">
        <v>3</v>
      </c>
      <c r="D105" s="3" t="n">
        <v>3</v>
      </c>
      <c r="E105" s="3" t="n">
        <v>2</v>
      </c>
      <c r="F105" s="3" t="n">
        <v>3</v>
      </c>
    </row>
    <row r="106" customFormat="false" ht="17.15" hidden="false" customHeight="false" outlineLevel="0" collapsed="false">
      <c r="A106" s="19" t="s">
        <v>444</v>
      </c>
      <c r="B106" s="19" t="s">
        <v>445</v>
      </c>
      <c r="C106" s="3" t="n">
        <v>1</v>
      </c>
      <c r="D106" s="3" t="n">
        <v>1</v>
      </c>
      <c r="E106" s="3" t="n">
        <v>1</v>
      </c>
      <c r="F106" s="3" t="n">
        <v>1</v>
      </c>
    </row>
    <row r="107" customFormat="false" ht="17.15" hidden="false" customHeight="false" outlineLevel="0" collapsed="false">
      <c r="A107" s="19" t="s">
        <v>446</v>
      </c>
      <c r="B107" s="19" t="s">
        <v>445</v>
      </c>
      <c r="C107" s="3" t="n">
        <v>2</v>
      </c>
      <c r="D107" s="3" t="n">
        <v>2</v>
      </c>
      <c r="E107" s="3" t="n">
        <v>2</v>
      </c>
      <c r="F107" s="3" t="n">
        <v>2</v>
      </c>
    </row>
    <row r="108" customFormat="false" ht="15" hidden="false" customHeight="false" outlineLevel="0" collapsed="false">
      <c r="A108" s="19" t="s">
        <v>447</v>
      </c>
      <c r="B108" s="19" t="s">
        <v>448</v>
      </c>
      <c r="C108" s="3" t="n">
        <v>1</v>
      </c>
      <c r="D108" s="3" t="n">
        <v>1</v>
      </c>
      <c r="E108" s="3" t="n">
        <v>1</v>
      </c>
      <c r="F108" s="3" t="n">
        <v>1</v>
      </c>
    </row>
    <row r="109" customFormat="false" ht="15" hidden="false" customHeight="false" outlineLevel="0" collapsed="false">
      <c r="A109" s="19" t="s">
        <v>449</v>
      </c>
      <c r="B109" s="19" t="s">
        <v>448</v>
      </c>
      <c r="C109" s="3" t="n">
        <v>2</v>
      </c>
      <c r="D109" s="3" t="n">
        <v>2</v>
      </c>
      <c r="E109" s="3" t="n">
        <v>2</v>
      </c>
      <c r="F109" s="3" t="n">
        <v>2</v>
      </c>
    </row>
    <row r="110" customFormat="false" ht="15" hidden="false" customHeight="false" outlineLevel="0" collapsed="false">
      <c r="A110" s="19" t="s">
        <v>450</v>
      </c>
      <c r="B110" s="19" t="s">
        <v>451</v>
      </c>
      <c r="C110" s="3" t="n">
        <v>1</v>
      </c>
      <c r="D110" s="3" t="n">
        <v>1</v>
      </c>
      <c r="E110" s="3" t="n">
        <v>3</v>
      </c>
      <c r="F110" s="3" t="n">
        <v>1</v>
      </c>
    </row>
    <row r="111" customFormat="false" ht="15" hidden="false" customHeight="false" outlineLevel="0" collapsed="false">
      <c r="A111" s="19" t="s">
        <v>452</v>
      </c>
      <c r="B111" s="19" t="s">
        <v>451</v>
      </c>
      <c r="C111" s="3" t="n">
        <v>1</v>
      </c>
      <c r="D111" s="3" t="n">
        <v>1</v>
      </c>
      <c r="E111" s="3" t="n">
        <v>2</v>
      </c>
      <c r="F111" s="3" t="n">
        <v>1</v>
      </c>
    </row>
    <row r="112" customFormat="false" ht="15" hidden="false" customHeight="false" outlineLevel="0" collapsed="false">
      <c r="A112" s="19" t="s">
        <v>453</v>
      </c>
      <c r="B112" s="19" t="s">
        <v>454</v>
      </c>
      <c r="C112" s="3" t="n">
        <v>1</v>
      </c>
      <c r="D112" s="3" t="n">
        <v>1</v>
      </c>
      <c r="E112" s="3" t="n">
        <v>1</v>
      </c>
      <c r="F112" s="3" t="n">
        <v>1</v>
      </c>
    </row>
    <row r="113" customFormat="false" ht="15" hidden="false" customHeight="false" outlineLevel="0" collapsed="false">
      <c r="A113" s="19" t="s">
        <v>455</v>
      </c>
      <c r="B113" s="19" t="s">
        <v>454</v>
      </c>
      <c r="C113" s="3" t="n">
        <v>3</v>
      </c>
      <c r="D113" s="3" t="n">
        <v>2</v>
      </c>
      <c r="E113" s="3" t="n">
        <v>3</v>
      </c>
      <c r="F113" s="3" t="n">
        <v>3</v>
      </c>
    </row>
    <row r="114" customFormat="false" ht="15" hidden="false" customHeight="false" outlineLevel="0" collapsed="false">
      <c r="A114" s="19" t="s">
        <v>456</v>
      </c>
      <c r="B114" s="19" t="s">
        <v>457</v>
      </c>
      <c r="C114" s="3" t="n">
        <v>1</v>
      </c>
      <c r="D114" s="3" t="n">
        <v>1</v>
      </c>
      <c r="E114" s="3" t="n">
        <v>1</v>
      </c>
      <c r="F114" s="3" t="n">
        <v>1</v>
      </c>
    </row>
    <row r="115" customFormat="false" ht="15" hidden="false" customHeight="false" outlineLevel="0" collapsed="false">
      <c r="A115" s="19" t="s">
        <v>458</v>
      </c>
      <c r="B115" s="19" t="s">
        <v>457</v>
      </c>
      <c r="C115" s="3" t="n">
        <v>1</v>
      </c>
      <c r="D115" s="3" t="n">
        <v>1</v>
      </c>
      <c r="E115" s="3" t="n">
        <v>1</v>
      </c>
      <c r="F115" s="3" t="n">
        <v>1</v>
      </c>
    </row>
    <row r="116" customFormat="false" ht="15" hidden="false" customHeight="false" outlineLevel="0" collapsed="false">
      <c r="A116" s="19" t="s">
        <v>459</v>
      </c>
      <c r="B116" s="19" t="s">
        <v>460</v>
      </c>
      <c r="C116" s="3" t="n">
        <v>1</v>
      </c>
      <c r="D116" s="3" t="n">
        <v>1</v>
      </c>
      <c r="E116" s="3" t="n">
        <v>1</v>
      </c>
      <c r="F116" s="3" t="n">
        <v>1</v>
      </c>
    </row>
    <row r="117" customFormat="false" ht="15" hidden="false" customHeight="false" outlineLevel="0" collapsed="false">
      <c r="A117" s="19" t="s">
        <v>461</v>
      </c>
      <c r="B117" s="19" t="s">
        <v>460</v>
      </c>
      <c r="C117" s="3" t="n">
        <v>1</v>
      </c>
      <c r="D117" s="3" t="n">
        <v>1</v>
      </c>
      <c r="E117" s="3" t="n">
        <v>1</v>
      </c>
      <c r="F117" s="3" t="n">
        <v>1</v>
      </c>
    </row>
    <row r="118" customFormat="false" ht="15" hidden="false" customHeight="false" outlineLevel="0" collapsed="false">
      <c r="A118" s="19" t="s">
        <v>462</v>
      </c>
      <c r="B118" s="19" t="s">
        <v>463</v>
      </c>
      <c r="C118" s="3" t="n">
        <v>1</v>
      </c>
      <c r="D118" s="3" t="n">
        <v>1</v>
      </c>
      <c r="E118" s="3" t="n">
        <v>1</v>
      </c>
      <c r="F118" s="3" t="n">
        <v>1</v>
      </c>
    </row>
    <row r="119" customFormat="false" ht="15" hidden="false" customHeight="false" outlineLevel="0" collapsed="false">
      <c r="A119" s="19" t="s">
        <v>464</v>
      </c>
      <c r="B119" s="19" t="s">
        <v>463</v>
      </c>
      <c r="C119" s="3" t="n">
        <v>1</v>
      </c>
      <c r="D119" s="3" t="n">
        <v>1</v>
      </c>
      <c r="E119" s="3" t="n">
        <v>1</v>
      </c>
      <c r="F119" s="3" t="n">
        <v>1</v>
      </c>
    </row>
    <row r="120" customFormat="false" ht="17.15" hidden="false" customHeight="false" outlineLevel="0" collapsed="false">
      <c r="A120" s="19" t="s">
        <v>465</v>
      </c>
      <c r="B120" s="19" t="s">
        <v>466</v>
      </c>
      <c r="C120" s="3" t="n">
        <v>1</v>
      </c>
      <c r="D120" s="3" t="n">
        <v>1</v>
      </c>
      <c r="E120" s="3" t="n">
        <v>1</v>
      </c>
      <c r="F120" s="3" t="n">
        <v>1</v>
      </c>
    </row>
    <row r="121" customFormat="false" ht="17.15" hidden="false" customHeight="false" outlineLevel="0" collapsed="false">
      <c r="A121" s="19" t="s">
        <v>467</v>
      </c>
      <c r="B121" s="19" t="s">
        <v>466</v>
      </c>
      <c r="C121" s="3" t="n">
        <v>1</v>
      </c>
      <c r="D121" s="3" t="n">
        <v>1</v>
      </c>
      <c r="E121" s="3" t="n">
        <v>1</v>
      </c>
      <c r="F121" s="3" t="n">
        <v>1</v>
      </c>
    </row>
    <row r="122" customFormat="false" ht="15" hidden="false" customHeight="false" outlineLevel="0" collapsed="false">
      <c r="A122" s="19" t="s">
        <v>468</v>
      </c>
      <c r="B122" s="19" t="s">
        <v>469</v>
      </c>
      <c r="C122" s="3" t="n">
        <v>2</v>
      </c>
      <c r="D122" s="3" t="n">
        <v>3</v>
      </c>
      <c r="E122" s="3" t="n">
        <v>3</v>
      </c>
      <c r="F122" s="3" t="n">
        <v>3</v>
      </c>
    </row>
    <row r="123" customFormat="false" ht="15" hidden="false" customHeight="false" outlineLevel="0" collapsed="false">
      <c r="A123" s="19" t="s">
        <v>470</v>
      </c>
      <c r="B123" s="19" t="s">
        <v>469</v>
      </c>
      <c r="C123" s="3" t="n">
        <v>1</v>
      </c>
      <c r="D123" s="3" t="n">
        <v>1</v>
      </c>
      <c r="E123" s="3" t="n">
        <v>1</v>
      </c>
      <c r="F123" s="3" t="n">
        <v>1</v>
      </c>
    </row>
    <row r="124" customFormat="false" ht="15" hidden="false" customHeight="false" outlineLevel="0" collapsed="false">
      <c r="A124" s="19" t="s">
        <v>471</v>
      </c>
      <c r="B124" s="19" t="s">
        <v>472</v>
      </c>
      <c r="C124" s="3" t="n">
        <v>4</v>
      </c>
      <c r="D124" s="3" t="n">
        <v>3</v>
      </c>
      <c r="E124" s="3" t="n">
        <v>3</v>
      </c>
      <c r="F124" s="3" t="n">
        <v>4</v>
      </c>
    </row>
    <row r="125" customFormat="false" ht="15" hidden="false" customHeight="false" outlineLevel="0" collapsed="false">
      <c r="A125" s="19" t="s">
        <v>473</v>
      </c>
      <c r="B125" s="19" t="s">
        <v>472</v>
      </c>
      <c r="C125" s="3" t="n">
        <v>1</v>
      </c>
      <c r="D125" s="3" t="n">
        <v>1</v>
      </c>
      <c r="E125" s="3" t="n">
        <v>1</v>
      </c>
      <c r="F125" s="3" t="n">
        <v>1</v>
      </c>
    </row>
    <row r="126" customFormat="false" ht="15" hidden="false" customHeight="false" outlineLevel="0" collapsed="false">
      <c r="A126" s="19" t="s">
        <v>396</v>
      </c>
      <c r="B126" s="19" t="s">
        <v>474</v>
      </c>
      <c r="C126" s="3" t="n">
        <v>2</v>
      </c>
      <c r="D126" s="3" t="n">
        <v>2</v>
      </c>
      <c r="E126" s="3" t="n">
        <v>2</v>
      </c>
      <c r="F126" s="3" t="n">
        <v>2</v>
      </c>
    </row>
    <row r="127" customFormat="false" ht="15" hidden="false" customHeight="false" outlineLevel="0" collapsed="false">
      <c r="A127" s="19" t="s">
        <v>475</v>
      </c>
      <c r="B127" s="19" t="s">
        <v>474</v>
      </c>
      <c r="C127" s="3" t="n">
        <v>2</v>
      </c>
      <c r="D127" s="3" t="n">
        <v>1</v>
      </c>
      <c r="E127" s="3" t="n">
        <v>1</v>
      </c>
      <c r="F127" s="3" t="n">
        <v>2</v>
      </c>
    </row>
    <row r="128" customFormat="false" ht="15" hidden="false" customHeight="false" outlineLevel="0" collapsed="false">
      <c r="A128" s="19" t="s">
        <v>476</v>
      </c>
      <c r="B128" s="19" t="s">
        <v>477</v>
      </c>
      <c r="C128" s="3" t="n">
        <v>11</v>
      </c>
      <c r="D128" s="3" t="n">
        <v>11</v>
      </c>
      <c r="E128" s="3" t="n">
        <v>13</v>
      </c>
      <c r="F128" s="3" t="n">
        <v>13</v>
      </c>
    </row>
    <row r="129" customFormat="false" ht="15" hidden="false" customHeight="false" outlineLevel="0" collapsed="false">
      <c r="A129" s="19" t="s">
        <v>478</v>
      </c>
      <c r="B129" s="19" t="s">
        <v>477</v>
      </c>
      <c r="C129" s="3" t="n">
        <v>20</v>
      </c>
      <c r="D129" s="3" t="n">
        <v>15</v>
      </c>
      <c r="E129" s="3" t="n">
        <v>20</v>
      </c>
      <c r="F129" s="3" t="n">
        <v>25</v>
      </c>
    </row>
    <row r="130" customFormat="false" ht="15" hidden="false" customHeight="false" outlineLevel="0" collapsed="false">
      <c r="A130" s="19" t="s">
        <v>479</v>
      </c>
      <c r="B130" s="19" t="s">
        <v>480</v>
      </c>
      <c r="C130" s="3" t="n">
        <v>3</v>
      </c>
      <c r="D130" s="3" t="n">
        <v>7</v>
      </c>
      <c r="E130" s="3" t="n">
        <v>3</v>
      </c>
      <c r="F130" s="3" t="n">
        <v>4</v>
      </c>
    </row>
    <row r="131" customFormat="false" ht="15" hidden="false" customHeight="false" outlineLevel="0" collapsed="false">
      <c r="A131" s="19" t="s">
        <v>481</v>
      </c>
      <c r="B131" s="19" t="s">
        <v>480</v>
      </c>
      <c r="C131" s="3" t="n">
        <v>2</v>
      </c>
      <c r="D131" s="3" t="n">
        <v>4</v>
      </c>
      <c r="E131" s="3" t="n">
        <v>3</v>
      </c>
      <c r="F131" s="3" t="n">
        <v>5</v>
      </c>
    </row>
    <row r="132" customFormat="false" ht="15" hidden="false" customHeight="false" outlineLevel="0" collapsed="false">
      <c r="A132" s="19" t="s">
        <v>482</v>
      </c>
      <c r="B132" s="19" t="s">
        <v>483</v>
      </c>
      <c r="C132" s="3" t="n">
        <v>1</v>
      </c>
      <c r="D132" s="3" t="n">
        <v>1</v>
      </c>
      <c r="E132" s="3" t="n">
        <v>1</v>
      </c>
      <c r="F132" s="3" t="n">
        <v>1</v>
      </c>
    </row>
    <row r="133" customFormat="false" ht="15" hidden="false" customHeight="false" outlineLevel="0" collapsed="false">
      <c r="A133" s="19" t="s">
        <v>484</v>
      </c>
      <c r="B133" s="19" t="s">
        <v>483</v>
      </c>
      <c r="C133" s="3" t="n">
        <v>1</v>
      </c>
      <c r="D133" s="3" t="n">
        <v>1</v>
      </c>
      <c r="E133" s="3" t="n">
        <v>1</v>
      </c>
      <c r="F133" s="3" t="n">
        <v>1</v>
      </c>
    </row>
    <row r="134" customFormat="false" ht="15" hidden="false" customHeight="false" outlineLevel="0" collapsed="false">
      <c r="A134" s="19" t="s">
        <v>485</v>
      </c>
      <c r="B134" s="19" t="s">
        <v>486</v>
      </c>
      <c r="C134" s="3" t="n">
        <v>1</v>
      </c>
      <c r="D134" s="3" t="n">
        <v>1</v>
      </c>
      <c r="E134" s="3" t="n">
        <v>2</v>
      </c>
      <c r="F134" s="3" t="n">
        <v>2</v>
      </c>
    </row>
    <row r="135" customFormat="false" ht="15" hidden="false" customHeight="false" outlineLevel="0" collapsed="false">
      <c r="A135" s="19" t="s">
        <v>487</v>
      </c>
      <c r="B135" s="19" t="s">
        <v>486</v>
      </c>
      <c r="C135" s="3" t="n">
        <v>2</v>
      </c>
      <c r="D135" s="3" t="n">
        <v>2</v>
      </c>
      <c r="E135" s="3" t="n">
        <v>3</v>
      </c>
      <c r="F135" s="3" t="n">
        <v>2</v>
      </c>
    </row>
    <row r="136" customFormat="false" ht="15" hidden="false" customHeight="false" outlineLevel="0" collapsed="false">
      <c r="A136" s="19" t="s">
        <v>488</v>
      </c>
      <c r="B136" s="19" t="s">
        <v>489</v>
      </c>
      <c r="C136" s="3" t="n">
        <v>3</v>
      </c>
      <c r="D136" s="3" t="n">
        <v>3</v>
      </c>
      <c r="E136" s="3" t="n">
        <v>2</v>
      </c>
      <c r="F136" s="3" t="n">
        <v>2</v>
      </c>
    </row>
    <row r="137" customFormat="false" ht="15" hidden="false" customHeight="false" outlineLevel="0" collapsed="false">
      <c r="A137" s="19" t="s">
        <v>490</v>
      </c>
      <c r="B137" s="19" t="s">
        <v>489</v>
      </c>
      <c r="C137" s="3" t="n">
        <v>1</v>
      </c>
      <c r="D137" s="3" t="n">
        <v>1</v>
      </c>
      <c r="E137" s="3" t="n">
        <v>1</v>
      </c>
      <c r="F137" s="3" t="n">
        <v>1</v>
      </c>
    </row>
    <row r="138" customFormat="false" ht="15" hidden="false" customHeight="false" outlineLevel="0" collapsed="false">
      <c r="A138" s="19" t="s">
        <v>491</v>
      </c>
      <c r="B138" s="19" t="s">
        <v>492</v>
      </c>
      <c r="C138" s="3" t="n">
        <v>1</v>
      </c>
      <c r="D138" s="3" t="n">
        <v>1</v>
      </c>
      <c r="E138" s="3" t="n">
        <v>1</v>
      </c>
      <c r="F138" s="3" t="n">
        <v>1</v>
      </c>
    </row>
    <row r="139" customFormat="false" ht="15" hidden="false" customHeight="false" outlineLevel="0" collapsed="false">
      <c r="A139" s="19" t="s">
        <v>327</v>
      </c>
      <c r="B139" s="19" t="s">
        <v>492</v>
      </c>
      <c r="C139" s="3" t="n">
        <v>28</v>
      </c>
      <c r="D139" s="3" t="n">
        <v>17</v>
      </c>
      <c r="E139" s="3" t="n">
        <v>10</v>
      </c>
      <c r="F139" s="3" t="n">
        <v>27</v>
      </c>
    </row>
    <row r="140" customFormat="false" ht="15" hidden="false" customHeight="false" outlineLevel="0" collapsed="false">
      <c r="A140" s="19" t="s">
        <v>493</v>
      </c>
      <c r="B140" s="19" t="s">
        <v>494</v>
      </c>
      <c r="C140" s="3" t="n">
        <v>1</v>
      </c>
      <c r="D140" s="3" t="n">
        <v>1</v>
      </c>
      <c r="E140" s="3" t="n">
        <v>2</v>
      </c>
      <c r="F140" s="3" t="n">
        <v>2</v>
      </c>
    </row>
    <row r="141" customFormat="false" ht="15" hidden="false" customHeight="false" outlineLevel="0" collapsed="false">
      <c r="A141" s="19" t="s">
        <v>495</v>
      </c>
      <c r="B141" s="19" t="s">
        <v>494</v>
      </c>
      <c r="C141" s="3" t="n">
        <v>7</v>
      </c>
      <c r="D141" s="3" t="n">
        <v>2</v>
      </c>
      <c r="E141" s="3" t="n">
        <v>5</v>
      </c>
      <c r="F141" s="3" t="n">
        <v>5</v>
      </c>
    </row>
    <row r="142" customFormat="false" ht="15" hidden="false" customHeight="false" outlineLevel="0" collapsed="false">
      <c r="A142" s="19" t="s">
        <v>496</v>
      </c>
      <c r="B142" s="19" t="s">
        <v>497</v>
      </c>
      <c r="C142" s="3" t="n">
        <v>2</v>
      </c>
      <c r="D142" s="3" t="n">
        <v>2</v>
      </c>
      <c r="E142" s="3" t="n">
        <v>2</v>
      </c>
      <c r="F142" s="3" t="n">
        <v>2</v>
      </c>
    </row>
    <row r="143" customFormat="false" ht="15" hidden="false" customHeight="false" outlineLevel="0" collapsed="false">
      <c r="A143" s="19" t="s">
        <v>384</v>
      </c>
      <c r="B143" s="19" t="s">
        <v>497</v>
      </c>
      <c r="C143" s="3" t="n">
        <v>2</v>
      </c>
      <c r="D143" s="3" t="n">
        <v>2</v>
      </c>
      <c r="E143" s="3" t="n">
        <v>2</v>
      </c>
      <c r="F143" s="3" t="n">
        <v>2</v>
      </c>
    </row>
    <row r="144" customFormat="false" ht="15" hidden="false" customHeight="false" outlineLevel="0" collapsed="false">
      <c r="A144" s="19" t="s">
        <v>498</v>
      </c>
      <c r="B144" s="19" t="s">
        <v>486</v>
      </c>
      <c r="C144" s="3" t="n">
        <v>1</v>
      </c>
      <c r="D144" s="3" t="n">
        <v>1</v>
      </c>
      <c r="E144" s="3" t="n">
        <v>2</v>
      </c>
      <c r="F144" s="3" t="n">
        <v>2</v>
      </c>
    </row>
    <row r="145" customFormat="false" ht="15" hidden="false" customHeight="false" outlineLevel="0" collapsed="false">
      <c r="A145" s="19" t="s">
        <v>485</v>
      </c>
      <c r="B145" s="19" t="s">
        <v>486</v>
      </c>
      <c r="C145" s="3" t="n">
        <v>2</v>
      </c>
      <c r="D145" s="3" t="n">
        <v>2</v>
      </c>
      <c r="E145" s="3" t="n">
        <v>1</v>
      </c>
      <c r="F145" s="3" t="n">
        <v>1</v>
      </c>
    </row>
    <row r="146" customFormat="false" ht="15" hidden="false" customHeight="false" outlineLevel="0" collapsed="false">
      <c r="A146" s="19" t="s">
        <v>499</v>
      </c>
      <c r="B146" s="19" t="s">
        <v>500</v>
      </c>
      <c r="C146" s="3" t="n">
        <v>2</v>
      </c>
      <c r="D146" s="3" t="n">
        <v>2</v>
      </c>
      <c r="E146" s="3" t="n">
        <v>2</v>
      </c>
      <c r="F146" s="3" t="n">
        <v>2</v>
      </c>
    </row>
    <row r="147" customFormat="false" ht="15" hidden="false" customHeight="false" outlineLevel="0" collapsed="false">
      <c r="A147" s="19" t="s">
        <v>501</v>
      </c>
      <c r="B147" s="19" t="s">
        <v>500</v>
      </c>
      <c r="C147" s="3" t="n">
        <v>1</v>
      </c>
      <c r="D147" s="3" t="n">
        <v>2</v>
      </c>
      <c r="E147" s="3" t="n">
        <v>1</v>
      </c>
      <c r="F147" s="3" t="n">
        <v>2</v>
      </c>
    </row>
    <row r="148" customFormat="false" ht="15" hidden="false" customHeight="false" outlineLevel="0" collapsed="false">
      <c r="A148" s="19" t="s">
        <v>502</v>
      </c>
      <c r="B148" s="19" t="s">
        <v>503</v>
      </c>
      <c r="C148" s="3" t="n">
        <v>1</v>
      </c>
      <c r="D148" s="3" t="n">
        <v>1</v>
      </c>
      <c r="E148" s="3" t="n">
        <v>1</v>
      </c>
      <c r="F148" s="3" t="n">
        <v>1</v>
      </c>
    </row>
    <row r="149" customFormat="false" ht="15" hidden="false" customHeight="false" outlineLevel="0" collapsed="false">
      <c r="A149" s="19" t="s">
        <v>504</v>
      </c>
      <c r="B149" s="19" t="s">
        <v>503</v>
      </c>
      <c r="C149" s="3" t="n">
        <v>1</v>
      </c>
      <c r="D149" s="3" t="n">
        <v>1</v>
      </c>
      <c r="E149" s="3" t="n">
        <v>1</v>
      </c>
      <c r="F149" s="3" t="n">
        <v>1</v>
      </c>
    </row>
    <row r="150" customFormat="false" ht="15" hidden="false" customHeight="false" outlineLevel="0" collapsed="false">
      <c r="A150" s="19" t="s">
        <v>505</v>
      </c>
      <c r="B150" s="19" t="s">
        <v>506</v>
      </c>
      <c r="C150" s="3" t="n">
        <v>2</v>
      </c>
      <c r="D150" s="3" t="n">
        <v>2</v>
      </c>
      <c r="E150" s="3" t="n">
        <v>2</v>
      </c>
      <c r="F150" s="3" t="n">
        <v>2</v>
      </c>
    </row>
    <row r="151" customFormat="false" ht="15" hidden="false" customHeight="false" outlineLevel="0" collapsed="false">
      <c r="A151" s="19" t="s">
        <v>507</v>
      </c>
      <c r="B151" s="19" t="s">
        <v>506</v>
      </c>
      <c r="C151" s="3" t="n">
        <v>1</v>
      </c>
      <c r="D151" s="3" t="n">
        <v>1</v>
      </c>
      <c r="E151" s="3" t="n">
        <v>1</v>
      </c>
      <c r="F151" s="3" t="n">
        <v>1</v>
      </c>
    </row>
    <row r="152" customFormat="false" ht="17.15" hidden="false" customHeight="false" outlineLevel="0" collapsed="false">
      <c r="A152" s="19" t="s">
        <v>508</v>
      </c>
      <c r="B152" s="19" t="s">
        <v>509</v>
      </c>
      <c r="C152" s="3" t="n">
        <v>10</v>
      </c>
      <c r="D152" s="3" t="n">
        <v>9</v>
      </c>
      <c r="E152" s="3" t="n">
        <v>11</v>
      </c>
      <c r="F152" s="3" t="n">
        <v>10</v>
      </c>
    </row>
    <row r="153" customFormat="false" ht="17.15" hidden="false" customHeight="false" outlineLevel="0" collapsed="false">
      <c r="A153" s="19" t="s">
        <v>510</v>
      </c>
      <c r="B153" s="19" t="s">
        <v>509</v>
      </c>
      <c r="C153" s="3" t="n">
        <v>9</v>
      </c>
      <c r="D153" s="3" t="n">
        <v>8</v>
      </c>
      <c r="E153" s="3" t="n">
        <v>12</v>
      </c>
      <c r="F153" s="3" t="n">
        <v>11</v>
      </c>
    </row>
    <row r="154" customFormat="false" ht="15" hidden="false" customHeight="false" outlineLevel="0" collapsed="false">
      <c r="A154" s="19" t="s">
        <v>511</v>
      </c>
      <c r="B154" s="19" t="s">
        <v>512</v>
      </c>
      <c r="C154" s="3" t="n">
        <v>2</v>
      </c>
      <c r="D154" s="3" t="n">
        <v>2</v>
      </c>
      <c r="E154" s="3" t="n">
        <v>2</v>
      </c>
      <c r="F154" s="3" t="n">
        <v>2</v>
      </c>
    </row>
    <row r="155" customFormat="false" ht="15" hidden="false" customHeight="false" outlineLevel="0" collapsed="false">
      <c r="A155" s="19" t="s">
        <v>513</v>
      </c>
      <c r="B155" s="19" t="s">
        <v>512</v>
      </c>
      <c r="C155" s="3" t="n">
        <v>1</v>
      </c>
      <c r="D155" s="3" t="n">
        <v>1</v>
      </c>
      <c r="E155" s="3" t="n">
        <v>1</v>
      </c>
      <c r="F155" s="3" t="n">
        <v>1</v>
      </c>
    </row>
    <row r="156" customFormat="false" ht="15" hidden="false" customHeight="false" outlineLevel="0" collapsed="false">
      <c r="A156" s="19" t="s">
        <v>514</v>
      </c>
      <c r="B156" s="19" t="s">
        <v>515</v>
      </c>
      <c r="C156" s="3" t="n">
        <v>16</v>
      </c>
      <c r="D156" s="3" t="n">
        <v>16</v>
      </c>
      <c r="E156" s="3" t="n">
        <v>24</v>
      </c>
      <c r="F156" s="3" t="n">
        <v>27</v>
      </c>
    </row>
    <row r="157" customFormat="false" ht="15" hidden="false" customHeight="false" outlineLevel="0" collapsed="false">
      <c r="A157" s="19" t="s">
        <v>516</v>
      </c>
      <c r="B157" s="19" t="s">
        <v>515</v>
      </c>
      <c r="C157" s="3" t="n">
        <v>8</v>
      </c>
      <c r="D157" s="3" t="n">
        <v>7</v>
      </c>
      <c r="E157" s="3" t="n">
        <v>10</v>
      </c>
      <c r="F157" s="3" t="n">
        <v>8</v>
      </c>
    </row>
    <row r="158" customFormat="false" ht="15" hidden="false" customHeight="false" outlineLevel="0" collapsed="false">
      <c r="A158" s="19" t="s">
        <v>517</v>
      </c>
      <c r="B158" s="19" t="s">
        <v>518</v>
      </c>
      <c r="C158" s="3" t="n">
        <v>1</v>
      </c>
      <c r="D158" s="3" t="n">
        <v>1</v>
      </c>
      <c r="E158" s="3" t="n">
        <v>1</v>
      </c>
      <c r="F158" s="3" t="n">
        <v>1</v>
      </c>
    </row>
    <row r="159" customFormat="false" ht="15" hidden="false" customHeight="false" outlineLevel="0" collapsed="false">
      <c r="A159" s="19" t="s">
        <v>519</v>
      </c>
      <c r="B159" s="19" t="s">
        <v>518</v>
      </c>
      <c r="C159" s="3" t="n">
        <v>1</v>
      </c>
      <c r="D159" s="3" t="n">
        <v>1</v>
      </c>
      <c r="E159" s="3" t="n">
        <v>1</v>
      </c>
      <c r="F159" s="3" t="n">
        <v>1</v>
      </c>
    </row>
    <row r="160" customFormat="false" ht="17.15" hidden="false" customHeight="false" outlineLevel="0" collapsed="false">
      <c r="A160" s="19" t="s">
        <v>520</v>
      </c>
      <c r="B160" s="19" t="s">
        <v>521</v>
      </c>
      <c r="C160" s="3" t="n">
        <v>3</v>
      </c>
      <c r="D160" s="3" t="n">
        <v>3</v>
      </c>
      <c r="E160" s="3" t="n">
        <v>2</v>
      </c>
      <c r="F160" s="3" t="n">
        <v>2</v>
      </c>
    </row>
    <row r="161" customFormat="false" ht="17.15" hidden="false" customHeight="false" outlineLevel="0" collapsed="false">
      <c r="A161" s="19" t="s">
        <v>522</v>
      </c>
      <c r="B161" s="19" t="s">
        <v>521</v>
      </c>
      <c r="C161" s="3" t="n">
        <v>18</v>
      </c>
      <c r="D161" s="3" t="n">
        <v>10</v>
      </c>
      <c r="E161" s="3" t="n">
        <v>23</v>
      </c>
      <c r="F161" s="3" t="n">
        <v>13</v>
      </c>
    </row>
    <row r="162" customFormat="false" ht="17.15" hidden="false" customHeight="false" outlineLevel="0" collapsed="false">
      <c r="A162" s="19" t="s">
        <v>523</v>
      </c>
      <c r="B162" s="19" t="s">
        <v>524</v>
      </c>
      <c r="C162" s="3" t="n">
        <v>1</v>
      </c>
      <c r="D162" s="3" t="n">
        <v>1</v>
      </c>
      <c r="E162" s="3" t="n">
        <v>1</v>
      </c>
      <c r="F162" s="3" t="n">
        <v>1</v>
      </c>
    </row>
    <row r="163" customFormat="false" ht="17.15" hidden="false" customHeight="false" outlineLevel="0" collapsed="false">
      <c r="A163" s="19" t="s">
        <v>520</v>
      </c>
      <c r="B163" s="19" t="s">
        <v>524</v>
      </c>
      <c r="C163" s="3" t="n">
        <v>2</v>
      </c>
      <c r="D163" s="3" t="n">
        <v>2</v>
      </c>
      <c r="E163" s="3" t="n">
        <v>3</v>
      </c>
      <c r="F163" s="3" t="n">
        <v>3</v>
      </c>
    </row>
    <row r="164" customFormat="false" ht="15" hidden="false" customHeight="false" outlineLevel="0" collapsed="false">
      <c r="A164" s="19" t="s">
        <v>525</v>
      </c>
      <c r="B164" s="19" t="s">
        <v>526</v>
      </c>
      <c r="C164" s="3" t="n">
        <v>1</v>
      </c>
      <c r="D164" s="3" t="n">
        <v>1</v>
      </c>
      <c r="E164" s="3" t="n">
        <v>1</v>
      </c>
      <c r="F164" s="3" t="n">
        <v>1</v>
      </c>
    </row>
    <row r="165" customFormat="false" ht="15" hidden="false" customHeight="false" outlineLevel="0" collapsed="false">
      <c r="A165" s="19" t="s">
        <v>527</v>
      </c>
      <c r="B165" s="19" t="s">
        <v>526</v>
      </c>
      <c r="C165" s="3" t="n">
        <v>4</v>
      </c>
      <c r="D165" s="3" t="n">
        <v>4</v>
      </c>
      <c r="E165" s="3" t="n">
        <v>5</v>
      </c>
      <c r="F165" s="3" t="n">
        <v>4</v>
      </c>
    </row>
    <row r="166" customFormat="false" ht="15" hidden="false" customHeight="false" outlineLevel="0" collapsed="false">
      <c r="A166" s="19" t="s">
        <v>528</v>
      </c>
      <c r="B166" s="19" t="s">
        <v>529</v>
      </c>
      <c r="C166" s="3" t="n">
        <v>13</v>
      </c>
      <c r="D166" s="3" t="n">
        <v>11</v>
      </c>
      <c r="E166" s="3" t="n">
        <v>8</v>
      </c>
      <c r="F166" s="3" t="n">
        <v>13</v>
      </c>
    </row>
    <row r="167" customFormat="false" ht="15" hidden="false" customHeight="false" outlineLevel="0" collapsed="false">
      <c r="A167" s="19" t="s">
        <v>530</v>
      </c>
      <c r="B167" s="19" t="s">
        <v>529</v>
      </c>
      <c r="C167" s="3" t="n">
        <v>7</v>
      </c>
      <c r="D167" s="3" t="n">
        <v>5</v>
      </c>
      <c r="E167" s="3" t="n">
        <v>5</v>
      </c>
      <c r="F167" s="3" t="n">
        <v>9</v>
      </c>
    </row>
    <row r="168" customFormat="false" ht="15" hidden="false" customHeight="false" outlineLevel="0" collapsed="false">
      <c r="A168" s="19" t="s">
        <v>531</v>
      </c>
      <c r="B168" s="19" t="s">
        <v>532</v>
      </c>
      <c r="C168" s="3" t="n">
        <v>1</v>
      </c>
      <c r="D168" s="3" t="n">
        <v>1</v>
      </c>
      <c r="E168" s="3" t="n">
        <v>1</v>
      </c>
      <c r="F168" s="3" t="n">
        <v>1</v>
      </c>
    </row>
    <row r="169" customFormat="false" ht="15" hidden="false" customHeight="false" outlineLevel="0" collapsed="false">
      <c r="A169" s="19" t="s">
        <v>533</v>
      </c>
      <c r="B169" s="19" t="s">
        <v>532</v>
      </c>
      <c r="C169" s="3" t="n">
        <v>1</v>
      </c>
      <c r="D169" s="3" t="n">
        <v>1</v>
      </c>
      <c r="E169" s="3" t="n">
        <v>1</v>
      </c>
      <c r="F169" s="3" t="n">
        <v>1</v>
      </c>
    </row>
    <row r="170" customFormat="false" ht="17.15" hidden="false" customHeight="false" outlineLevel="0" collapsed="false">
      <c r="A170" s="19" t="s">
        <v>534</v>
      </c>
      <c r="B170" s="19" t="s">
        <v>535</v>
      </c>
      <c r="C170" s="3" t="n">
        <v>2</v>
      </c>
      <c r="D170" s="3" t="n">
        <v>1</v>
      </c>
      <c r="E170" s="3" t="n">
        <v>2</v>
      </c>
      <c r="F170" s="3" t="n">
        <v>2</v>
      </c>
    </row>
    <row r="171" customFormat="false" ht="17.15" hidden="false" customHeight="false" outlineLevel="0" collapsed="false">
      <c r="A171" s="19" t="s">
        <v>536</v>
      </c>
      <c r="B171" s="19" t="s">
        <v>535</v>
      </c>
      <c r="C171" s="3" t="n">
        <v>1</v>
      </c>
      <c r="D171" s="3" t="n">
        <v>1</v>
      </c>
      <c r="E171" s="3" t="n">
        <v>1</v>
      </c>
      <c r="F171" s="3" t="n">
        <v>1</v>
      </c>
    </row>
    <row r="172" customFormat="false" ht="15" hidden="false" customHeight="false" outlineLevel="0" collapsed="false">
      <c r="A172" s="19" t="s">
        <v>537</v>
      </c>
      <c r="B172" s="19" t="s">
        <v>538</v>
      </c>
      <c r="C172" s="3" t="n">
        <v>1</v>
      </c>
      <c r="D172" s="3" t="n">
        <v>1</v>
      </c>
      <c r="E172" s="3" t="n">
        <v>1</v>
      </c>
      <c r="F172" s="3" t="n">
        <v>1</v>
      </c>
    </row>
    <row r="173" customFormat="false" ht="15" hidden="false" customHeight="false" outlineLevel="0" collapsed="false">
      <c r="A173" s="19" t="s">
        <v>539</v>
      </c>
      <c r="B173" s="19" t="s">
        <v>538</v>
      </c>
      <c r="C173" s="3" t="n">
        <v>1</v>
      </c>
      <c r="D173" s="3" t="n">
        <v>1</v>
      </c>
      <c r="E173" s="3" t="n">
        <v>2</v>
      </c>
      <c r="F173" s="3" t="n">
        <v>2</v>
      </c>
    </row>
    <row r="174" customFormat="false" ht="15" hidden="false" customHeight="false" outlineLevel="0" collapsed="false">
      <c r="A174" s="19" t="s">
        <v>540</v>
      </c>
      <c r="B174" s="19" t="s">
        <v>541</v>
      </c>
      <c r="C174" s="3" t="n">
        <v>3</v>
      </c>
      <c r="D174" s="3" t="n">
        <v>2</v>
      </c>
      <c r="E174" s="3" t="n">
        <v>3</v>
      </c>
      <c r="F174" s="3" t="n">
        <v>2</v>
      </c>
    </row>
    <row r="175" customFormat="false" ht="15" hidden="false" customHeight="false" outlineLevel="0" collapsed="false">
      <c r="A175" s="19" t="s">
        <v>542</v>
      </c>
      <c r="B175" s="19" t="s">
        <v>541</v>
      </c>
      <c r="C175" s="3" t="n">
        <v>5</v>
      </c>
      <c r="D175" s="3" t="n">
        <v>3</v>
      </c>
      <c r="E175" s="3" t="n">
        <v>6</v>
      </c>
      <c r="F175" s="3" t="n">
        <v>2</v>
      </c>
    </row>
    <row r="176" customFormat="false" ht="15" hidden="false" customHeight="false" outlineLevel="0" collapsed="false">
      <c r="A176" s="19" t="s">
        <v>543</v>
      </c>
      <c r="B176" s="19" t="s">
        <v>544</v>
      </c>
      <c r="C176" s="3" t="n">
        <v>2</v>
      </c>
      <c r="D176" s="3" t="n">
        <v>2</v>
      </c>
      <c r="E176" s="3" t="n">
        <v>2</v>
      </c>
      <c r="F176" s="3" t="n">
        <v>2</v>
      </c>
    </row>
    <row r="177" customFormat="false" ht="15" hidden="false" customHeight="false" outlineLevel="0" collapsed="false">
      <c r="A177" s="19" t="s">
        <v>545</v>
      </c>
      <c r="B177" s="19" t="s">
        <v>544</v>
      </c>
      <c r="C177" s="3" t="n">
        <v>5</v>
      </c>
      <c r="D177" s="3" t="n">
        <v>5</v>
      </c>
      <c r="E177" s="3" t="n">
        <v>5</v>
      </c>
      <c r="F177" s="3" t="n">
        <v>5</v>
      </c>
    </row>
    <row r="178" customFormat="false" ht="15" hidden="false" customHeight="false" outlineLevel="0" collapsed="false">
      <c r="A178" s="19" t="s">
        <v>546</v>
      </c>
      <c r="B178" s="19" t="s">
        <v>547</v>
      </c>
      <c r="C178" s="3" t="n">
        <v>4</v>
      </c>
      <c r="D178" s="3" t="n">
        <v>3</v>
      </c>
      <c r="E178" s="3" t="n">
        <v>7</v>
      </c>
      <c r="F178" s="3" t="n">
        <v>6</v>
      </c>
    </row>
    <row r="179" customFormat="false" ht="15" hidden="false" customHeight="false" outlineLevel="0" collapsed="false">
      <c r="A179" s="19" t="s">
        <v>548</v>
      </c>
      <c r="B179" s="19" t="s">
        <v>547</v>
      </c>
      <c r="C179" s="3" t="n">
        <v>1</v>
      </c>
      <c r="D179" s="3" t="n">
        <v>1</v>
      </c>
      <c r="E179" s="3" t="n">
        <v>1</v>
      </c>
      <c r="F179" s="3" t="n">
        <v>1</v>
      </c>
    </row>
    <row r="180" customFormat="false" ht="17.15" hidden="false" customHeight="false" outlineLevel="0" collapsed="false">
      <c r="A180" s="19" t="s">
        <v>549</v>
      </c>
      <c r="B180" s="19" t="s">
        <v>550</v>
      </c>
      <c r="C180" s="3" t="n">
        <v>2</v>
      </c>
      <c r="D180" s="3" t="n">
        <v>3</v>
      </c>
      <c r="E180" s="3" t="n">
        <v>1</v>
      </c>
      <c r="F180" s="3" t="n">
        <v>3</v>
      </c>
    </row>
    <row r="181" customFormat="false" ht="17.15" hidden="false" customHeight="false" outlineLevel="0" collapsed="false">
      <c r="A181" s="19" t="s">
        <v>551</v>
      </c>
      <c r="B181" s="19" t="s">
        <v>550</v>
      </c>
      <c r="C181" s="3" t="n">
        <v>1</v>
      </c>
      <c r="D181" s="3" t="n">
        <v>1</v>
      </c>
      <c r="E181" s="3" t="n">
        <v>1</v>
      </c>
      <c r="F181" s="3" t="n">
        <v>1</v>
      </c>
    </row>
    <row r="182" customFormat="false" ht="15" hidden="false" customHeight="false" outlineLevel="0" collapsed="false">
      <c r="A182" s="19" t="s">
        <v>552</v>
      </c>
      <c r="B182" s="19" t="s">
        <v>553</v>
      </c>
      <c r="C182" s="3" t="n">
        <v>1</v>
      </c>
      <c r="D182" s="3" t="n">
        <v>1</v>
      </c>
      <c r="E182" s="3" t="n">
        <v>1</v>
      </c>
      <c r="F182" s="3" t="n">
        <v>1</v>
      </c>
    </row>
    <row r="183" customFormat="false" ht="15" hidden="false" customHeight="false" outlineLevel="0" collapsed="false">
      <c r="A183" s="19" t="s">
        <v>554</v>
      </c>
      <c r="B183" s="19" t="s">
        <v>553</v>
      </c>
      <c r="C183" s="3" t="n">
        <v>1</v>
      </c>
      <c r="D183" s="3" t="n">
        <v>1</v>
      </c>
      <c r="E183" s="3" t="n">
        <v>1</v>
      </c>
      <c r="F183" s="3" t="n">
        <v>1</v>
      </c>
    </row>
    <row r="184" customFormat="false" ht="15" hidden="false" customHeight="false" outlineLevel="0" collapsed="false">
      <c r="A184" s="19" t="s">
        <v>555</v>
      </c>
      <c r="B184" s="19" t="s">
        <v>556</v>
      </c>
      <c r="C184" s="3" t="n">
        <v>2</v>
      </c>
      <c r="D184" s="3" t="n">
        <v>2</v>
      </c>
      <c r="E184" s="3" t="n">
        <v>2</v>
      </c>
      <c r="F184" s="3" t="n">
        <v>3</v>
      </c>
    </row>
    <row r="185" customFormat="false" ht="15" hidden="false" customHeight="false" outlineLevel="0" collapsed="false">
      <c r="A185" s="19" t="s">
        <v>557</v>
      </c>
      <c r="B185" s="19" t="s">
        <v>556</v>
      </c>
      <c r="C185" s="3" t="n">
        <v>2</v>
      </c>
      <c r="D185" s="3" t="n">
        <v>2</v>
      </c>
      <c r="E185" s="3" t="n">
        <v>2</v>
      </c>
      <c r="F185" s="3" t="n">
        <v>2</v>
      </c>
    </row>
    <row r="186" customFormat="false" ht="17.15" hidden="false" customHeight="false" outlineLevel="0" collapsed="false">
      <c r="A186" s="19" t="s">
        <v>558</v>
      </c>
      <c r="B186" s="19" t="s">
        <v>559</v>
      </c>
      <c r="C186" s="3" t="n">
        <v>1</v>
      </c>
      <c r="D186" s="3" t="n">
        <v>1</v>
      </c>
      <c r="E186" s="3" t="n">
        <v>1</v>
      </c>
      <c r="F186" s="3" t="n">
        <v>1</v>
      </c>
    </row>
    <row r="187" customFormat="false" ht="17.15" hidden="false" customHeight="false" outlineLevel="0" collapsed="false">
      <c r="A187" s="19" t="s">
        <v>560</v>
      </c>
      <c r="B187" s="19" t="s">
        <v>559</v>
      </c>
      <c r="C187" s="3" t="n">
        <v>1</v>
      </c>
      <c r="D187" s="3" t="n">
        <v>1</v>
      </c>
      <c r="E187" s="3" t="n">
        <v>1</v>
      </c>
      <c r="F187" s="3" t="n">
        <v>1</v>
      </c>
    </row>
    <row r="188" customFormat="false" ht="17.15" hidden="false" customHeight="false" outlineLevel="0" collapsed="false">
      <c r="A188" s="19" t="s">
        <v>561</v>
      </c>
      <c r="B188" s="3" t="s">
        <v>562</v>
      </c>
      <c r="C188" s="3" t="n">
        <v>1</v>
      </c>
      <c r="D188" s="3" t="n">
        <v>1</v>
      </c>
      <c r="E188" s="3" t="n">
        <v>1</v>
      </c>
      <c r="F188" s="3" t="n">
        <v>1</v>
      </c>
    </row>
    <row r="189" customFormat="false" ht="17.15" hidden="false" customHeight="false" outlineLevel="0" collapsed="false">
      <c r="A189" s="19" t="s">
        <v>563</v>
      </c>
      <c r="B189" s="3" t="s">
        <v>562</v>
      </c>
      <c r="C189" s="3" t="n">
        <v>5</v>
      </c>
      <c r="D189" s="3" t="n">
        <v>5</v>
      </c>
      <c r="E189" s="3" t="n">
        <v>5</v>
      </c>
      <c r="F189" s="3" t="n">
        <v>5</v>
      </c>
    </row>
    <row r="190" customFormat="false" ht="15" hidden="false" customHeight="false" outlineLevel="0" collapsed="false">
      <c r="A190" s="19" t="s">
        <v>564</v>
      </c>
      <c r="B190" s="19" t="s">
        <v>565</v>
      </c>
      <c r="C190" s="3" t="n">
        <v>1</v>
      </c>
      <c r="D190" s="3" t="n">
        <v>1</v>
      </c>
      <c r="E190" s="3" t="n">
        <v>2</v>
      </c>
      <c r="F190" s="3" t="n">
        <v>1</v>
      </c>
    </row>
    <row r="191" customFormat="false" ht="15" hidden="false" customHeight="false" outlineLevel="0" collapsed="false">
      <c r="A191" s="19" t="s">
        <v>566</v>
      </c>
      <c r="B191" s="19" t="s">
        <v>565</v>
      </c>
      <c r="C191" s="3" t="n">
        <v>1</v>
      </c>
      <c r="D191" s="3" t="n">
        <v>1</v>
      </c>
      <c r="E191" s="3" t="n">
        <v>1</v>
      </c>
      <c r="F191" s="3" t="n">
        <v>1</v>
      </c>
    </row>
    <row r="192" customFormat="false" ht="15" hidden="false" customHeight="false" outlineLevel="0" collapsed="false">
      <c r="A192" s="19" t="s">
        <v>567</v>
      </c>
      <c r="B192" s="19" t="s">
        <v>568</v>
      </c>
      <c r="C192" s="3" t="n">
        <v>6</v>
      </c>
      <c r="D192" s="3" t="n">
        <v>19</v>
      </c>
      <c r="E192" s="3" t="n">
        <v>4</v>
      </c>
      <c r="F192" s="3" t="n">
        <v>8</v>
      </c>
    </row>
    <row r="193" customFormat="false" ht="15" hidden="false" customHeight="false" outlineLevel="0" collapsed="false">
      <c r="A193" s="19" t="s">
        <v>569</v>
      </c>
      <c r="B193" s="19" t="s">
        <v>568</v>
      </c>
      <c r="C193" s="3" t="n">
        <v>1</v>
      </c>
      <c r="D193" s="3" t="n">
        <v>1</v>
      </c>
      <c r="E193" s="3" t="n">
        <v>1</v>
      </c>
      <c r="F193" s="3" t="n">
        <v>2</v>
      </c>
    </row>
    <row r="194" customFormat="false" ht="15" hidden="false" customHeight="false" outlineLevel="0" collapsed="false">
      <c r="A194" s="19" t="s">
        <v>570</v>
      </c>
      <c r="B194" s="19" t="s">
        <v>571</v>
      </c>
      <c r="C194" s="3" t="n">
        <v>1</v>
      </c>
      <c r="D194" s="3" t="n">
        <v>1</v>
      </c>
      <c r="E194" s="3" t="n">
        <v>1</v>
      </c>
      <c r="F194" s="3" t="n">
        <v>1</v>
      </c>
    </row>
    <row r="195" customFormat="false" ht="15" hidden="false" customHeight="false" outlineLevel="0" collapsed="false">
      <c r="A195" s="19" t="s">
        <v>572</v>
      </c>
      <c r="B195" s="19" t="s">
        <v>571</v>
      </c>
      <c r="C195" s="3" t="n">
        <v>1</v>
      </c>
      <c r="D195" s="3" t="n">
        <v>1</v>
      </c>
      <c r="E195" s="3" t="n">
        <v>1</v>
      </c>
      <c r="F195" s="3" t="n">
        <v>1</v>
      </c>
    </row>
    <row r="196" customFormat="false" ht="15" hidden="false" customHeight="false" outlineLevel="0" collapsed="false">
      <c r="A196" s="19" t="s">
        <v>573</v>
      </c>
      <c r="B196" s="19" t="s">
        <v>574</v>
      </c>
      <c r="C196" s="3" t="n">
        <v>1</v>
      </c>
      <c r="D196" s="3" t="n">
        <v>1</v>
      </c>
      <c r="E196" s="3" t="n">
        <v>1</v>
      </c>
      <c r="F196" s="3" t="n">
        <v>1</v>
      </c>
    </row>
    <row r="197" customFormat="false" ht="15" hidden="false" customHeight="false" outlineLevel="0" collapsed="false">
      <c r="A197" s="19" t="s">
        <v>575</v>
      </c>
      <c r="B197" s="19" t="s">
        <v>574</v>
      </c>
      <c r="C197" s="3" t="n">
        <v>1</v>
      </c>
      <c r="D197" s="3" t="n">
        <v>1</v>
      </c>
      <c r="E197" s="3" t="n">
        <v>1</v>
      </c>
      <c r="F197" s="3" t="n">
        <v>1</v>
      </c>
    </row>
    <row r="198" customFormat="false" ht="15" hidden="false" customHeight="false" outlineLevel="0" collapsed="false">
      <c r="A198" s="19" t="s">
        <v>576</v>
      </c>
      <c r="B198" s="19" t="s">
        <v>577</v>
      </c>
      <c r="C198" s="3" t="n">
        <v>3</v>
      </c>
      <c r="D198" s="3" t="n">
        <v>2</v>
      </c>
      <c r="E198" s="3" t="n">
        <v>3</v>
      </c>
      <c r="F198" s="3" t="n">
        <v>2</v>
      </c>
    </row>
    <row r="199" customFormat="false" ht="15" hidden="false" customHeight="false" outlineLevel="0" collapsed="false">
      <c r="A199" s="19" t="s">
        <v>578</v>
      </c>
      <c r="B199" s="19" t="s">
        <v>577</v>
      </c>
      <c r="C199" s="3" t="n">
        <v>1</v>
      </c>
      <c r="D199" s="3" t="n">
        <v>1</v>
      </c>
      <c r="E199" s="3" t="n">
        <v>1</v>
      </c>
      <c r="F199" s="3" t="n">
        <v>1</v>
      </c>
    </row>
    <row r="200" customFormat="false" ht="15" hidden="false" customHeight="false" outlineLevel="0" collapsed="false">
      <c r="A200" s="19" t="s">
        <v>567</v>
      </c>
      <c r="B200" s="19" t="s">
        <v>579</v>
      </c>
      <c r="C200" s="3" t="n">
        <v>8</v>
      </c>
      <c r="D200" s="3" t="n">
        <v>8</v>
      </c>
      <c r="E200" s="3" t="n">
        <v>8</v>
      </c>
      <c r="F200" s="3" t="n">
        <v>5</v>
      </c>
    </row>
    <row r="201" customFormat="false" ht="15" hidden="false" customHeight="false" outlineLevel="0" collapsed="false">
      <c r="A201" s="19" t="s">
        <v>580</v>
      </c>
      <c r="B201" s="19" t="s">
        <v>579</v>
      </c>
      <c r="C201" s="3" t="n">
        <v>1</v>
      </c>
      <c r="D201" s="3" t="n">
        <v>1</v>
      </c>
      <c r="E201" s="3" t="n">
        <v>1</v>
      </c>
      <c r="F201" s="3" t="n">
        <v>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2026-10-10T08:51:49Z</dcterms:created>
  <dc:creator>openpyxl</dc:creator>
  <dc:description/>
  <dc:language>en-US</dc:language>
  <cp:lastModifiedBy/>
  <dcterms:modified xsi:type="dcterms:W3CDTF">2026-10-10T08:51:49Z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