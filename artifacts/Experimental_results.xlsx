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rformance" sheetId="1" state="visible" r:id="rId3"/>
    <sheet name="P1 test" sheetId="2" state="visible" r:id="rId4"/>
    <sheet name="P2 queries" sheetId="3" state="visible" r:id="rId5"/>
    <sheet name="P3 clip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<sst xmlns="http://schemas.openxmlformats.org/spreadsheetml/2006/main" count="1946" uniqueCount="1453">
  <si>
    <t xml:space="preserve">Project:</t>
  </si>
  <si>
    <r>
      <rPr>
        <b val="true"/>
        <sz val="12"/>
        <rFont val="Arial"/>
        <family val="0"/>
        <charset val="1"/>
      </rPr>
      <t xml:space="preserve">Same Table / </t>
    </r>
    <r>
      <rPr>
        <b val="true"/>
        <sz val="12"/>
        <rFont val="Noto Sans CJK SC"/>
        <family val="2"/>
      </rPr>
      <t xml:space="preserve">糖友同枱 </t>
    </r>
    <r>
      <rPr>
        <b val="true"/>
        <sz val="12"/>
        <rFont val="Arial"/>
        <family val="0"/>
        <charset val="1"/>
      </rPr>
      <t xml:space="preserve">- shared home dinner planning for diabetes patients (Hospital Authority, classroom prototype)</t>
    </r>
  </si>
  <si>
    <t xml:space="preserve">There are two pipelines in this app.</t>
  </si>
  <si>
    <t xml:space="preserve">Pipeline 1 (understand the cook's request) is highly relevant to the project objective and therefore, it requires finetuning.</t>
  </si>
  <si>
    <t xml:space="preserve">Pipeline 2 (retrieve dishes from the labeled library) does not require finetuning.</t>
  </si>
  <si>
    <t xml:space="preserve">Experiment: Selecting the optimal model(s)</t>
  </si>
  <si>
    <t xml:space="preserve">Experiment: Assessing the overall performance</t>
  </si>
  <si>
    <t xml:space="preserve">Step 1: Select THREE relevant and comparable pre-trained models</t>
  </si>
  <si>
    <t xml:space="preserve">Step 2a: Finetune the selected models with own dataset</t>
  </si>
  <si>
    <t xml:space="preserve">Step 3: Implement the App and deploy it to Streamlit Cloud</t>
  </si>
  <si>
    <t xml:space="preserve">Pipeline 1 - Multi-label text classification (to be finetuned)</t>
  </si>
  <si>
    <t xml:space="preserve">Fine-tuning</t>
  </si>
  <si>
    <t xml:space="preserve">1. Deployment</t>
  </si>
  <si>
    <t xml:space="preserve">Dataset:</t>
  </si>
  <si>
    <t xml:space="preserve">data/train/p1_train.jsonl, p1_eval.jsonl, p1_test.jsonl</t>
  </si>
  <si>
    <t xml:space="preserve">App = pipeline 1 (finetuned hfl/rbt6) + pipeline 2 (BAAI/bge-small-zh-v1.5, hybrid weight 3) + plating rules</t>
  </si>
  <si>
    <t xml:space="preserve">training samples:</t>
  </si>
  <si>
    <t xml:space="preserve">Pipeline 1 as deployed (finetuned model + keyword lexicon), accuracy on the hand-written sentences: 0.889</t>
  </si>
  <si>
    <t xml:space="preserve">evaluation samples:</t>
  </si>
  <si>
    <t xml:space="preserve">testing samples (hand-written):</t>
  </si>
  <si>
    <t xml:space="preserve">2. Test and evaluate the App (20 test samples)</t>
  </si>
  <si>
    <t xml:space="preserve">Objective judgement: tags, dish count, no repeats, methods, soup, 20-min, balance</t>
  </si>
  <si>
    <t xml:space="preserve">Test</t>
  </si>
  <si>
    <t xml:space="preserve">Inputs (people | request | chips)</t>
  </si>
  <si>
    <t xml:space="preserve">Outputs (tags found | menu)</t>
  </si>
  <si>
    <t xml:space="preserve">Correct or not (notebook)</t>
  </si>
  <si>
    <t xml:space="preserve">Checked on Streamlit Cloud (fill in: Correct / Incorrect)</t>
  </si>
  <si>
    <t xml:space="preserve">Model name</t>
  </si>
  <si>
    <t xml:space="preserve">Accuracy (after finetuning, using trainer.evaluate())</t>
  </si>
  <si>
    <t xml:space="preserve">Run time (in sec. per 100 requests, CPU)</t>
  </si>
  <si>
    <t xml:space="preserve">Fine-tuning time (in sec.)</t>
  </si>
  <si>
    <t xml:space="preserve">Accuracy on hand-written test</t>
  </si>
  <si>
    <t xml:space="preserve">Test sample 1</t>
  </si>
  <si>
    <r>
      <rPr>
        <sz val="11"/>
        <rFont val="Arial"/>
        <family val="0"/>
        <charset val="1"/>
      </rPr>
      <t xml:space="preserve">4 people | </t>
    </r>
    <r>
      <rPr>
        <sz val="11"/>
        <rFont val="Noto Sans CJK SC"/>
        <family val="2"/>
      </rPr>
      <t xml:space="preserve">阿爸牙唔好，想食啲軟熟嘅蒸餸，唔好太甜</t>
    </r>
  </si>
  <si>
    <r>
      <rPr>
        <sz val="11"/>
        <rFont val="Arial"/>
        <family val="0"/>
        <charset val="1"/>
      </rPr>
      <t xml:space="preserve">tags: less_sweet, steam | </t>
    </r>
    <r>
      <rPr>
        <sz val="11"/>
        <rFont val="Noto Sans CJK SC"/>
        <family val="2"/>
      </rPr>
      <t xml:space="preserve">不會失敗的蒸蛋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清蒸山藥｜三鮮肉丸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蝦仁蒸蛋豆腐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甜豌豆炒菇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蒜炒小白菜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快炒</t>
    </r>
    <r>
      <rPr>
        <sz val="11"/>
        <rFont val="Arial"/>
        <family val="0"/>
        <charset val="1"/>
      </rPr>
      <t xml:space="preserve">/5</t>
    </r>
    <r>
      <rPr>
        <sz val="11"/>
        <rFont val="Noto Sans CJK SC"/>
        <family val="2"/>
      </rPr>
      <t xml:space="preserve">分鐘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簡單快速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客家鹹湯圓的“炒料”</t>
    </r>
  </si>
  <si>
    <t xml:space="preserve">Correct</t>
  </si>
  <si>
    <t xml:space="preserve">Model 1</t>
  </si>
  <si>
    <t xml:space="preserve">hfl/rbt3</t>
  </si>
  <si>
    <t xml:space="preserve">Test sample 2</t>
  </si>
  <si>
    <r>
      <rPr>
        <sz val="11"/>
        <rFont val="Arial"/>
        <family val="0"/>
        <charset val="1"/>
      </rPr>
      <t xml:space="preserve">2 people | </t>
    </r>
    <r>
      <rPr>
        <sz val="11"/>
        <rFont val="Noto Sans CJK SC"/>
        <family val="2"/>
      </rPr>
      <t xml:space="preserve">今晚好趕，求其炒兩個餸就算</t>
    </r>
  </si>
  <si>
    <r>
      <rPr>
        <sz val="11"/>
        <rFont val="Arial"/>
        <family val="0"/>
        <charset val="1"/>
      </rPr>
      <t xml:space="preserve">tags: quick, stir | </t>
    </r>
    <r>
      <rPr>
        <sz val="11"/>
        <rFont val="Noto Sans CJK SC"/>
        <family val="2"/>
      </rPr>
      <t xml:space="preserve">好市多牛三寶炒蒜苗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菠菜炒鴻禧菇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蒜炒小白菜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快炒</t>
    </r>
    <r>
      <rPr>
        <sz val="11"/>
        <rFont val="Arial"/>
        <family val="0"/>
        <charset val="1"/>
      </rPr>
      <t xml:space="preserve">/5</t>
    </r>
    <r>
      <rPr>
        <sz val="11"/>
        <rFont val="Noto Sans CJK SC"/>
        <family val="2"/>
      </rPr>
      <t xml:space="preserve">分鐘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簡單快速</t>
    </r>
  </si>
  <si>
    <t xml:space="preserve">Model 2</t>
  </si>
  <si>
    <t xml:space="preserve">hfl/rbt6</t>
  </si>
  <si>
    <t xml:space="preserve">Test sample 3</t>
  </si>
  <si>
    <r>
      <rPr>
        <sz val="11"/>
        <rFont val="Arial"/>
        <family val="0"/>
        <charset val="1"/>
      </rPr>
      <t xml:space="preserve">6 people | </t>
    </r>
    <r>
      <rPr>
        <sz val="11"/>
        <rFont val="Noto Sans CJK SC"/>
        <family val="2"/>
      </rPr>
      <t xml:space="preserve">想煲湯，另外加個白灼菜</t>
    </r>
  </si>
  <si>
    <r>
      <rPr>
        <sz val="11"/>
        <rFont val="Arial"/>
        <family val="0"/>
        <charset val="1"/>
      </rPr>
      <t xml:space="preserve">tags: blanch, soup | </t>
    </r>
    <r>
      <rPr>
        <sz val="11"/>
        <rFont val="Noto Sans CJK SC"/>
        <family val="2"/>
      </rPr>
      <t xml:space="preserve">白切雞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『涼拌皮蛋』－清爽、酸辣、開胃。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涼拌魚皮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芹菜炒花枝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家常小菜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涼拌干絲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《料理簡單做》涼拌萵筍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菜心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涼拌萵筍 </t>
    </r>
    <r>
      <rPr>
        <sz val="11"/>
        <rFont val="Arial"/>
        <family val="0"/>
        <charset val="1"/>
      </rPr>
      <t xml:space="preserve">( A</t>
    </r>
    <r>
      <rPr>
        <sz val="11"/>
        <rFont val="Noto Sans CJK SC"/>
        <family val="2"/>
      </rPr>
      <t xml:space="preserve">菜心 </t>
    </r>
    <r>
      <rPr>
        <sz val="11"/>
        <rFont val="Arial"/>
        <family val="0"/>
        <charset val="1"/>
      </rPr>
      <t xml:space="preserve">) / </t>
    </r>
    <r>
      <rPr>
        <sz val="11"/>
        <rFont val="Noto Sans CJK SC"/>
        <family val="2"/>
      </rPr>
      <t xml:space="preserve">客家鹹湯圓的“炒料”</t>
    </r>
  </si>
  <si>
    <t xml:space="preserve">Model 3</t>
  </si>
  <si>
    <t xml:space="preserve">hfl/chinese-roberta-wwm-ext</t>
  </si>
  <si>
    <t xml:space="preserve">Test sample 4</t>
  </si>
  <si>
    <r>
      <rPr>
        <sz val="11"/>
        <rFont val="Arial"/>
        <family val="0"/>
        <charset val="1"/>
      </rPr>
      <t xml:space="preserve">5 people | </t>
    </r>
    <r>
      <rPr>
        <sz val="11"/>
        <rFont val="Noto Sans CJK SC"/>
        <family val="2"/>
      </rPr>
      <t xml:space="preserve">屋企有三個男仔，肉要多</t>
    </r>
  </si>
  <si>
    <r>
      <rPr>
        <sz val="11"/>
        <rFont val="Arial"/>
        <family val="0"/>
        <charset val="1"/>
      </rPr>
      <t xml:space="preserve">tags: more_meat | </t>
    </r>
    <r>
      <rPr>
        <sz val="11"/>
        <rFont val="Noto Sans CJK SC"/>
        <family val="2"/>
      </rPr>
      <t xml:space="preserve">好市多牛三寶炒蒜苗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十三香炒回鍋肉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青椒炒肉絲 </t>
    </r>
    <r>
      <rPr>
        <sz val="11"/>
        <rFont val="Arial"/>
        <family val="0"/>
        <charset val="1"/>
      </rPr>
      <t xml:space="preserve">- </t>
    </r>
    <r>
      <rPr>
        <sz val="11"/>
        <rFont val="Noto Sans CJK SC"/>
        <family val="2"/>
      </rPr>
      <t xml:space="preserve">家常料理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菠菜炒鴻禧菇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免炒無油無糖自製棗泥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素食版的粄條😋 蔬炒粄條🤤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薑絲石斑魚蛤蜊湯</t>
    </r>
  </si>
  <si>
    <t xml:space="preserve">Baseline</t>
  </si>
  <si>
    <t xml:space="preserve">keyword lexicon (no model, no training)</t>
  </si>
  <si>
    <t xml:space="preserve">&lt; 0.01</t>
  </si>
  <si>
    <t xml:space="preserve">Test sample 5</t>
  </si>
  <si>
    <r>
      <rPr>
        <sz val="11"/>
        <rFont val="Arial"/>
        <family val="0"/>
        <charset val="1"/>
      </rPr>
      <t xml:space="preserve">3 people | </t>
    </r>
    <r>
      <rPr>
        <sz val="11"/>
        <rFont val="Noto Sans CJK SC"/>
        <family val="2"/>
      </rPr>
      <t xml:space="preserve">最近食得好油，想清清地</t>
    </r>
  </si>
  <si>
    <r>
      <rPr>
        <sz val="11"/>
        <rFont val="Arial"/>
        <family val="0"/>
        <charset val="1"/>
      </rPr>
      <t xml:space="preserve">tags: more_veg | </t>
    </r>
    <r>
      <rPr>
        <sz val="11"/>
        <rFont val="Noto Sans CJK SC"/>
        <family val="2"/>
      </rPr>
      <t xml:space="preserve">『涼拌皮蛋』－清爽、酸辣、開胃。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清炒小黃瓜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蒜炒菜心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山藥排骨湯</t>
    </r>
  </si>
  <si>
    <t xml:space="preserve">MoritzLaurer/mDeBERTa-v3-base-mnli-xnli (zero-shot, no training)</t>
  </si>
  <si>
    <t xml:space="preserve">n/a</t>
  </si>
  <si>
    <t xml:space="preserve">Test sample 6</t>
  </si>
  <si>
    <t xml:space="preserve">4 people | (empty box)  [chips: steam, soup]</t>
  </si>
  <si>
    <r>
      <rPr>
        <sz val="11"/>
        <rFont val="Arial"/>
        <family val="0"/>
        <charset val="1"/>
      </rPr>
      <t xml:space="preserve">tags: soup, steam | </t>
    </r>
    <r>
      <rPr>
        <sz val="11"/>
        <rFont val="Noto Sans CJK SC"/>
        <family val="2"/>
      </rPr>
      <t xml:space="preserve">不會失敗的蒸蛋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清蒸山藥｜三鮮肉丸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清蒸石斑魚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百合蒸东星斑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炒結頭菜乾 </t>
    </r>
    <r>
      <rPr>
        <sz val="11"/>
        <rFont val="Arial"/>
        <family val="0"/>
        <charset val="1"/>
      </rPr>
      <t xml:space="preserve">/ 🍲</t>
    </r>
    <r>
      <rPr>
        <sz val="11"/>
        <rFont val="Noto Sans CJK SC"/>
        <family val="2"/>
      </rPr>
      <t xml:space="preserve">懶人火鍋</t>
    </r>
    <r>
      <rPr>
        <sz val="11"/>
        <rFont val="Arial"/>
        <family val="0"/>
        <charset val="1"/>
      </rPr>
      <t xml:space="preserve">_</t>
    </r>
    <r>
      <rPr>
        <sz val="11"/>
        <rFont val="Noto Sans CJK SC"/>
        <family val="2"/>
      </rPr>
      <t xml:space="preserve">康寶極湯味日式高湯包</t>
    </r>
  </si>
  <si>
    <t xml:space="preserve">Accuracy = all 8 tags of a sentence correct (exact match). Settings: 3 epochs, learning rate 5e-05, batch 16, fine-tuned on cpu. Source: notebooks/Model1_finetune_tagger.ipynb. The picked model's hand-written accuracy is a formula over sheet 'P1 test'.</t>
  </si>
  <si>
    <t xml:space="preserve">Test sample 7</t>
  </si>
  <si>
    <t xml:space="preserve">4 people | (empty box)</t>
  </si>
  <si>
    <r>
      <rPr>
        <sz val="11"/>
        <rFont val="Arial"/>
        <family val="0"/>
        <charset val="1"/>
      </rPr>
      <t xml:space="preserve">tags: (none) | </t>
    </r>
    <r>
      <rPr>
        <sz val="11"/>
        <rFont val="Noto Sans CJK SC"/>
        <family val="2"/>
      </rPr>
      <t xml:space="preserve">青椒炒肉絲 </t>
    </r>
    <r>
      <rPr>
        <sz val="11"/>
        <rFont val="Arial"/>
        <family val="0"/>
        <charset val="1"/>
      </rPr>
      <t xml:space="preserve">- </t>
    </r>
    <r>
      <rPr>
        <sz val="11"/>
        <rFont val="Noto Sans CJK SC"/>
        <family val="2"/>
      </rPr>
      <t xml:space="preserve">家常料理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好市多牛三寶炒蒜苗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蒜香鮮蝦炒彩蔬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家常小菜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涼拌干絲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《料理簡單做》涼拌萵筍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菜心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客家鹹湯圓的“炒料”</t>
    </r>
  </si>
  <si>
    <t xml:space="preserve">Test sample 8</t>
  </si>
  <si>
    <r>
      <rPr>
        <sz val="11"/>
        <rFont val="Arial"/>
        <family val="0"/>
        <charset val="1"/>
      </rPr>
      <t xml:space="preserve">1 people | </t>
    </r>
    <r>
      <rPr>
        <sz val="11"/>
        <rFont val="Noto Sans CJK SC"/>
        <family val="2"/>
      </rPr>
      <t xml:space="preserve">七點先放工，要十五分鐘搞得掂</t>
    </r>
  </si>
  <si>
    <r>
      <rPr>
        <sz val="11"/>
        <rFont val="Arial"/>
        <family val="0"/>
        <charset val="1"/>
      </rPr>
      <t xml:space="preserve">tags: quick | </t>
    </r>
    <r>
      <rPr>
        <sz val="11"/>
        <rFont val="Noto Sans CJK SC"/>
        <family val="2"/>
      </rPr>
      <t xml:space="preserve">十三香炒回鍋肉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蒜炒小白菜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快炒</t>
    </r>
    <r>
      <rPr>
        <sz val="11"/>
        <rFont val="Arial"/>
        <family val="0"/>
        <charset val="1"/>
      </rPr>
      <t xml:space="preserve">/5</t>
    </r>
    <r>
      <rPr>
        <sz val="11"/>
        <rFont val="Noto Sans CJK SC"/>
        <family val="2"/>
      </rPr>
      <t xml:space="preserve">分鐘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簡單快速</t>
    </r>
  </si>
  <si>
    <t xml:space="preserve">Step 2b: Pick the BEST finetuned model for implementation</t>
  </si>
  <si>
    <t xml:space="preserve">Test sample 9</t>
  </si>
  <si>
    <r>
      <rPr>
        <sz val="11"/>
        <rFont val="Arial"/>
        <family val="0"/>
        <charset val="1"/>
      </rPr>
      <t xml:space="preserve">6 people | </t>
    </r>
    <r>
      <rPr>
        <sz val="11"/>
        <rFont val="Noto Sans CJK SC"/>
        <family val="2"/>
      </rPr>
      <t xml:space="preserve">婆婆糖尿，醬汁唔可以甜  </t>
    </r>
    <r>
      <rPr>
        <sz val="11"/>
        <rFont val="Arial"/>
        <family val="0"/>
        <charset val="1"/>
      </rPr>
      <t xml:space="preserve">[chips: more_veg]</t>
    </r>
  </si>
  <si>
    <r>
      <rPr>
        <sz val="11"/>
        <rFont val="Arial"/>
        <family val="0"/>
        <charset val="1"/>
      </rPr>
      <t xml:space="preserve">tags: less_sweet, more_veg | </t>
    </r>
    <r>
      <rPr>
        <sz val="11"/>
        <rFont val="Noto Sans CJK SC"/>
        <family val="2"/>
      </rPr>
      <t xml:space="preserve">好市多牛三寶炒蒜苗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炒櫻桃鴨胸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蝦仁炒毛豆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甜豌豆炒菇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涼拌櫛瓜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蒜炒菜心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薑絲高麗菜炒小黃瓜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白菜蛋花湯</t>
    </r>
  </si>
  <si>
    <t xml:space="preserve">hfl/rbt6 is picked: highest evaluation accuracy; models within one standard error of the best are tied and the shortest run time wins.</t>
  </si>
  <si>
    <t xml:space="preserve">Test sample 10</t>
  </si>
  <si>
    <r>
      <rPr>
        <sz val="11"/>
        <rFont val="Arial"/>
        <family val="0"/>
        <charset val="1"/>
      </rPr>
      <t xml:space="preserve">3 people | </t>
    </r>
    <r>
      <rPr>
        <sz val="11"/>
        <rFont val="Noto Sans CJK SC"/>
        <family val="2"/>
      </rPr>
      <t xml:space="preserve">今晚想吃清蒸的，配一個燙青菜</t>
    </r>
  </si>
  <si>
    <r>
      <rPr>
        <sz val="11"/>
        <rFont val="Arial"/>
        <family val="0"/>
        <charset val="1"/>
      </rPr>
      <t xml:space="preserve">tags: blanch, steam | </t>
    </r>
    <r>
      <rPr>
        <sz val="11"/>
        <rFont val="Noto Sans CJK SC"/>
        <family val="2"/>
      </rPr>
      <t xml:space="preserve">清蒸山藥｜三鮮肉丸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清蒸石斑魚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家常小菜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涼拌干絲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榭黃芥菜羹｜立春節氣料理</t>
    </r>
  </si>
  <si>
    <t xml:space="preserve">The finetuned model is uploaded to Hugging Face as Tannedfish/same-table-tagger and is used for implementing the App.</t>
  </si>
  <si>
    <t xml:space="preserve">Test sample 11</t>
  </si>
  <si>
    <t xml:space="preserve">4 people | quick stir fry with lots of veggies</t>
  </si>
  <si>
    <r>
      <rPr>
        <sz val="11"/>
        <rFont val="Arial"/>
        <family val="0"/>
        <charset val="1"/>
      </rPr>
      <t xml:space="preserve">tags: more_veg, quick, stir | </t>
    </r>
    <r>
      <rPr>
        <sz val="11"/>
        <rFont val="Noto Sans CJK SC"/>
        <family val="2"/>
      </rPr>
      <t xml:space="preserve">爆香麻辣雞肝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芹菜炒花枝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薑絲高麗菜炒小黃瓜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芹菜小黃瓜炒豆腐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清炒小芥菜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酸菜豬血湯</t>
    </r>
  </si>
  <si>
    <t xml:space="preserve">Test sample 12</t>
  </si>
  <si>
    <t xml:space="preserve">5 people | we want more meat tonight and a soup</t>
  </si>
  <si>
    <r>
      <rPr>
        <sz val="11"/>
        <rFont val="Arial"/>
        <family val="0"/>
        <charset val="1"/>
      </rPr>
      <t xml:space="preserve">tags: more_meat, soup | </t>
    </r>
    <r>
      <rPr>
        <sz val="11"/>
        <rFont val="Noto Sans CJK SC"/>
        <family val="2"/>
      </rPr>
      <t xml:space="preserve">蒜苗炒臘肉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洋蔥炒鹹豬肉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韭菜肉片炒金針菇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蒜蓉蒸蝦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鹽炒花生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小黃瓜炒杏鮑菇及火腿片 </t>
    </r>
    <r>
      <rPr>
        <sz val="11"/>
        <rFont val="Arial"/>
        <family val="0"/>
        <charset val="1"/>
      </rPr>
      <t xml:space="preserve">/ *</t>
    </r>
    <r>
      <rPr>
        <sz val="11"/>
        <rFont val="Noto Sans CJK SC"/>
        <family val="2"/>
      </rPr>
      <t xml:space="preserve">蔥薑蒜</t>
    </r>
    <r>
      <rPr>
        <sz val="11"/>
        <rFont val="Arial"/>
        <family val="0"/>
        <charset val="1"/>
      </rPr>
      <t xml:space="preserve">* </t>
    </r>
    <r>
      <rPr>
        <sz val="11"/>
        <rFont val="Noto Sans CJK SC"/>
        <family val="2"/>
      </rPr>
      <t xml:space="preserve">香菇雞湯</t>
    </r>
  </si>
  <si>
    <t xml:space="preserve">Test sample 13</t>
  </si>
  <si>
    <r>
      <rPr>
        <sz val="11"/>
        <rFont val="Arial"/>
        <family val="0"/>
        <charset val="1"/>
      </rPr>
      <t xml:space="preserve">2 people | </t>
    </r>
    <r>
      <rPr>
        <sz val="11"/>
        <rFont val="Noto Sans CJK SC"/>
        <family val="2"/>
      </rPr>
      <t xml:space="preserve">落雨天想飲啖熱湯</t>
    </r>
  </si>
  <si>
    <r>
      <rPr>
        <sz val="11"/>
        <rFont val="Arial"/>
        <family val="0"/>
        <charset val="1"/>
      </rPr>
      <t xml:space="preserve">tags: soup | </t>
    </r>
    <r>
      <rPr>
        <sz val="11"/>
        <rFont val="Noto Sans CJK SC"/>
        <family val="2"/>
      </rPr>
      <t xml:space="preserve">豬肉辣炒高麗菜乾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涼拌萵筍 </t>
    </r>
    <r>
      <rPr>
        <sz val="11"/>
        <rFont val="Arial"/>
        <family val="0"/>
        <charset val="1"/>
      </rPr>
      <t xml:space="preserve">( A</t>
    </r>
    <r>
      <rPr>
        <sz val="11"/>
        <rFont val="Noto Sans CJK SC"/>
        <family val="2"/>
      </rPr>
      <t xml:space="preserve">菜心 </t>
    </r>
    <r>
      <rPr>
        <sz val="11"/>
        <rFont val="Arial"/>
        <family val="0"/>
        <charset val="1"/>
      </rPr>
      <t xml:space="preserve">) / 🍲</t>
    </r>
    <r>
      <rPr>
        <sz val="11"/>
        <rFont val="Noto Sans CJK SC"/>
        <family val="2"/>
      </rPr>
      <t xml:space="preserve">懶人火鍋</t>
    </r>
    <r>
      <rPr>
        <sz val="11"/>
        <rFont val="Arial"/>
        <family val="0"/>
        <charset val="1"/>
      </rPr>
      <t xml:space="preserve">_</t>
    </r>
    <r>
      <rPr>
        <sz val="11"/>
        <rFont val="Noto Sans CJK SC"/>
        <family val="2"/>
      </rPr>
      <t xml:space="preserve">康寶極湯味日式高湯包</t>
    </r>
  </si>
  <si>
    <t xml:space="preserve">Step 2a: Test the performance of the selected models with your own dataset</t>
  </si>
  <si>
    <t xml:space="preserve">Test sample 14</t>
  </si>
  <si>
    <r>
      <rPr>
        <sz val="11"/>
        <rFont val="Arial"/>
        <family val="0"/>
        <charset val="1"/>
      </rPr>
      <t xml:space="preserve">4 people | </t>
    </r>
    <r>
      <rPr>
        <sz val="11"/>
        <rFont val="Noto Sans CJK SC"/>
        <family val="2"/>
      </rPr>
      <t xml:space="preserve">想食得有鑊氣，炒牛肉都好</t>
    </r>
  </si>
  <si>
    <r>
      <rPr>
        <sz val="11"/>
        <rFont val="Arial"/>
        <family val="0"/>
        <charset val="1"/>
      </rPr>
      <t xml:space="preserve">tags: stir | </t>
    </r>
    <r>
      <rPr>
        <sz val="11"/>
        <rFont val="Noto Sans CJK SC"/>
        <family val="2"/>
      </rPr>
      <t xml:space="preserve">好市多牛三寶炒蒜苗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香菇肉末炒龍鬚菜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洋蔥毛肚炒蒜苗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清炒小黃瓜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芹菜鮮蔬炒豆乾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清燉牛肉湯</t>
    </r>
  </si>
  <si>
    <t xml:space="preserve">Pipeline 2 - Feature extraction (sentence embeddings for dish retrieval, not finetuned)</t>
  </si>
  <si>
    <t xml:space="preserve">Test sample 15</t>
  </si>
  <si>
    <r>
      <rPr>
        <sz val="11"/>
        <rFont val="Arial"/>
        <family val="0"/>
        <charset val="1"/>
      </rPr>
      <t xml:space="preserve">6 people | </t>
    </r>
    <r>
      <rPr>
        <sz val="11"/>
        <rFont val="Noto Sans CJK SC"/>
        <family val="2"/>
      </rPr>
      <t xml:space="preserve">蒸魚，炒菜，再加個湯</t>
    </r>
  </si>
  <si>
    <r>
      <rPr>
        <sz val="11"/>
        <rFont val="Arial"/>
        <family val="0"/>
        <charset val="1"/>
      </rPr>
      <t xml:space="preserve">tags: soup, steam, stir | </t>
    </r>
    <r>
      <rPr>
        <sz val="11"/>
        <rFont val="Noto Sans CJK SC"/>
        <family val="2"/>
      </rPr>
      <t xml:space="preserve">不會失敗的蒸蛋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清蒸山藥｜三鮮肉丸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懶人蒸爐料理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鳳梨醬蒸魚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清蒸石斑魚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蒜炒小白菜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快炒</t>
    </r>
    <r>
      <rPr>
        <sz val="11"/>
        <rFont val="Arial"/>
        <family val="0"/>
        <charset val="1"/>
      </rPr>
      <t xml:space="preserve">/5</t>
    </r>
    <r>
      <rPr>
        <sz val="11"/>
        <rFont val="Noto Sans CJK SC"/>
        <family val="2"/>
      </rPr>
      <t xml:space="preserve">分鐘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簡單快速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百合蒸东星斑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炒結頭菜乾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客家鹹湯圓的“炒料”</t>
    </r>
  </si>
  <si>
    <t xml:space="preserve">data/train/p2_dev.jsonl (development), p2_test.jsonl + p2_paraphrase_test.jsonl (testing)</t>
  </si>
  <si>
    <t xml:space="preserve">Test sample 16</t>
  </si>
  <si>
    <r>
      <rPr>
        <sz val="11"/>
        <rFont val="Arial"/>
        <family val="0"/>
        <charset val="1"/>
      </rPr>
      <t xml:space="preserve">3 people | </t>
    </r>
    <r>
      <rPr>
        <sz val="11"/>
        <rFont val="Noto Sans CJK SC"/>
        <family val="2"/>
      </rPr>
      <t xml:space="preserve">十五分鐘煮好，灼個菜蒸條魚</t>
    </r>
  </si>
  <si>
    <r>
      <rPr>
        <sz val="11"/>
        <rFont val="Arial"/>
        <family val="0"/>
        <charset val="1"/>
      </rPr>
      <t xml:space="preserve">tags: blanch, quick, steam | </t>
    </r>
    <r>
      <rPr>
        <sz val="11"/>
        <rFont val="Noto Sans CJK SC"/>
        <family val="2"/>
      </rPr>
      <t xml:space="preserve">不會失敗的蒸蛋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懶人蒸爐料理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鳳梨醬蒸魚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蒜炒小白菜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快炒</t>
    </r>
    <r>
      <rPr>
        <sz val="11"/>
        <rFont val="Arial"/>
        <family val="0"/>
        <charset val="1"/>
      </rPr>
      <t xml:space="preserve">/5</t>
    </r>
    <r>
      <rPr>
        <sz val="11"/>
        <rFont val="Noto Sans CJK SC"/>
        <family val="2"/>
      </rPr>
      <t xml:space="preserve">分鐘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簡單快速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薑絲石斑魚蛤蜊湯</t>
    </r>
  </si>
  <si>
    <t xml:space="preserve">Incorrect (methods on menu)</t>
  </si>
  <si>
    <t xml:space="preserve">development samples (set the hybrid weight):</t>
  </si>
  <si>
    <t xml:space="preserve">Test sample 17</t>
  </si>
  <si>
    <r>
      <rPr>
        <sz val="11"/>
        <rFont val="Arial"/>
        <family val="0"/>
        <charset val="1"/>
      </rPr>
      <t xml:space="preserve">4 people | </t>
    </r>
    <r>
      <rPr>
        <sz val="11"/>
        <rFont val="Noto Sans CJK SC"/>
        <family val="2"/>
      </rPr>
      <t xml:space="preserve">多菜少肉，唔好甜  </t>
    </r>
    <r>
      <rPr>
        <sz val="11"/>
        <rFont val="Arial"/>
        <family val="0"/>
        <charset val="1"/>
      </rPr>
      <t xml:space="preserve">[chips: quick]</t>
    </r>
  </si>
  <si>
    <r>
      <rPr>
        <sz val="11"/>
        <rFont val="Arial"/>
        <family val="0"/>
        <charset val="1"/>
      </rPr>
      <t xml:space="preserve">tags: less_sweet, more_veg, quick | </t>
    </r>
    <r>
      <rPr>
        <sz val="11"/>
        <rFont val="Noto Sans CJK SC"/>
        <family val="2"/>
      </rPr>
      <t xml:space="preserve">好市多牛三寶炒蒜苗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蝦仁炒毛豆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甜豌豆炒菇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薑絲高麗菜炒小黃瓜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蒜炒小白菜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快炒</t>
    </r>
    <r>
      <rPr>
        <sz val="11"/>
        <rFont val="Arial"/>
        <family val="0"/>
        <charset val="1"/>
      </rPr>
      <t xml:space="preserve">/5</t>
    </r>
    <r>
      <rPr>
        <sz val="11"/>
        <rFont val="Noto Sans CJK SC"/>
        <family val="2"/>
      </rPr>
      <t xml:space="preserve">分鐘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簡單快速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鹹菜蒜頭蛤蠣雞湯（電鍋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一鍋到底）</t>
    </r>
  </si>
  <si>
    <t xml:space="preserve">testing samples (literal queries):</t>
  </si>
  <si>
    <t xml:space="preserve">Test sample 18</t>
  </si>
  <si>
    <r>
      <rPr>
        <sz val="11"/>
        <rFont val="Arial"/>
        <family val="0"/>
        <charset val="1"/>
      </rPr>
      <t xml:space="preserve">2 people | </t>
    </r>
    <r>
      <rPr>
        <sz val="11"/>
        <rFont val="Noto Sans CJK SC"/>
        <family val="2"/>
      </rPr>
      <t xml:space="preserve">隨便啦  </t>
    </r>
    <r>
      <rPr>
        <sz val="11"/>
        <rFont val="Arial"/>
        <family val="0"/>
        <charset val="1"/>
      </rPr>
      <t xml:space="preserve">[chips: blanch]</t>
    </r>
  </si>
  <si>
    <r>
      <rPr>
        <sz val="11"/>
        <rFont val="Arial"/>
        <family val="0"/>
        <charset val="1"/>
      </rPr>
      <t xml:space="preserve">tags: blanch | </t>
    </r>
    <r>
      <rPr>
        <sz val="11"/>
        <rFont val="Noto Sans CJK SC"/>
        <family val="2"/>
      </rPr>
      <t xml:space="preserve">白切雞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涼拌魚皮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家常小菜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涼拌干絲</t>
    </r>
  </si>
  <si>
    <t xml:space="preserve">testing samples (paraphrase queries):</t>
  </si>
  <si>
    <t xml:space="preserve">Test sample 19</t>
  </si>
  <si>
    <r>
      <rPr>
        <sz val="11"/>
        <rFont val="Arial"/>
        <family val="0"/>
        <charset val="1"/>
      </rPr>
      <t xml:space="preserve">5 people | </t>
    </r>
    <r>
      <rPr>
        <sz val="11"/>
        <rFont val="Noto Sans CJK SC"/>
        <family val="2"/>
      </rPr>
      <t xml:space="preserve">長輩血糖高，不要甜的</t>
    </r>
  </si>
  <si>
    <r>
      <rPr>
        <sz val="11"/>
        <rFont val="Arial"/>
        <family val="0"/>
        <charset val="1"/>
      </rPr>
      <t xml:space="preserve">tags: less_sweet | </t>
    </r>
    <r>
      <rPr>
        <sz val="11"/>
        <rFont val="Noto Sans CJK SC"/>
        <family val="2"/>
      </rPr>
      <t xml:space="preserve">豬肉辣炒高麗菜乾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洋蔥炒鹹豬肉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蝦仁炒毛豆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古早味鯖魚罐頭炒高麗菜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甜豌豆炒菇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免炒無油無糖自製棗泥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酸菜豬血湯</t>
    </r>
  </si>
  <si>
    <t xml:space="preserve">library dishes searched:</t>
  </si>
  <si>
    <t xml:space="preserve">Test sample 20</t>
  </si>
  <si>
    <r>
      <rPr>
        <sz val="11"/>
        <rFont val="Arial"/>
        <family val="0"/>
        <charset val="1"/>
      </rPr>
      <t xml:space="preserve">4 people | </t>
    </r>
    <r>
      <rPr>
        <sz val="11"/>
        <rFont val="Noto Sans CJK SC"/>
        <family val="2"/>
      </rPr>
      <t xml:space="preserve">雪櫃有雞胸同菠菜</t>
    </r>
  </si>
  <si>
    <r>
      <rPr>
        <sz val="11"/>
        <rFont val="Arial"/>
        <family val="0"/>
        <charset val="1"/>
      </rPr>
      <t xml:space="preserve">tags: more_veg | </t>
    </r>
    <r>
      <rPr>
        <sz val="11"/>
        <rFont val="Noto Sans CJK SC"/>
        <family val="2"/>
      </rPr>
      <t xml:space="preserve">涼拌小黃瓜雞絲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菠菜炒鴻禧菇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薑絲高麗菜炒小黃瓜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芹菜鮮蔬炒豆乾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蒜炒菜心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鹹菜蒜頭蛤蠣雞湯（電鍋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一鍋到底）</t>
    </r>
  </si>
  <si>
    <t xml:space="preserve">Incorrect (tags)</t>
  </si>
  <si>
    <t xml:space="preserve">Performance (top-5 accuracy, literal queries)</t>
  </si>
  <si>
    <t xml:space="preserve">Run time (in sec. per 100 queries, CPU)</t>
  </si>
  <si>
    <t xml:space="preserve">Top-1 accuracy</t>
  </si>
  <si>
    <t xml:space="preserve">Paraphrase precision@5</t>
  </si>
  <si>
    <t xml:space="preserve">Hybrid weight w</t>
  </si>
  <si>
    <t xml:space="preserve">Accuracy (notebook):</t>
  </si>
  <si>
    <t xml:space="preserve">BAAI/bge-small-zh-v1.5</t>
  </si>
  <si>
    <t xml:space="preserve">shibing624/text2vec-base-chinese</t>
  </si>
  <si>
    <t xml:space="preserve">Accuracy (Streamlit Cloud):</t>
  </si>
  <si>
    <t xml:space="preserve">sentence-transformers/paraphrase-multilingual-MiniLM-L12-v2</t>
  </si>
  <si>
    <t xml:space="preserve">character TF-IDF (no model)</t>
  </si>
  <si>
    <t xml:space="preserve">&lt; 0.1</t>
  </si>
  <si>
    <t xml:space="preserve">Legend: fill the shaded column N after repeating each request on the deployed app (type Correct or Incorrect). Green rows = picked models.</t>
  </si>
  <si>
    <t xml:space="preserve">A query is correct when its target dish is ranked in the top 5 of the library (the menu shows 6-8 dishes). Each encoder runs through the app's Retriever: score = cosine similarity + w x character TF-IDF, with w set on the development queries only. Source: notebooks/Model2_experiments.ipynb; accuracy cells are formulas over sheet 'P2 queries'.</t>
  </si>
  <si>
    <t xml:space="preserve">Step 2b: Pick the BEST model for implementation</t>
  </si>
  <si>
    <t xml:space="preserve">3. Voice-note tests on Streamlit Cloud (pipeline 3: alvanlii/whisper-small-cantonese)</t>
  </si>
  <si>
    <t xml:space="preserve">BAAI/bge-small-zh-v1.5 is picked: highest top-5 accuracy; models within one standard error of the best are tied and the shortest run time wins.</t>
  </si>
  <si>
    <t xml:space="preserve">Say this into the app (Cantonese)</t>
  </si>
  <si>
    <t xml:space="preserve">Expected tags</t>
  </si>
  <si>
    <t xml:space="preserve">Text heard (fill in)</t>
  </si>
  <si>
    <t xml:space="preserve">Correct or not (fill in)</t>
  </si>
  <si>
    <t xml:space="preserve">Voice test 1</t>
  </si>
  <si>
    <t xml:space="preserve">今晚想食清蒸魚，唔好太甜</t>
  </si>
  <si>
    <t xml:space="preserve">steam, less_sweet</t>
  </si>
  <si>
    <t xml:space="preserve">Voice test 2</t>
  </si>
  <si>
    <t xml:space="preserve">好趕時間，炒兩個餸就得</t>
  </si>
  <si>
    <t xml:space="preserve">quick, stir</t>
  </si>
  <si>
    <t xml:space="preserve">Voice test 3</t>
  </si>
  <si>
    <t xml:space="preserve">想煲個湯，多啲菜</t>
  </si>
  <si>
    <t xml:space="preserve">soup, more_veg</t>
  </si>
  <si>
    <t xml:space="preserve">Pipeline 3 - Automatic speech recognition (Cantonese voice notes, not finetuned)</t>
  </si>
  <si>
    <t xml:space="preserve">Voice test 4</t>
  </si>
  <si>
    <t xml:space="preserve">屋企三個男仔，肉要多啲</t>
  </si>
  <si>
    <t xml:space="preserve">more_meat</t>
  </si>
  <si>
    <t xml:space="preserve">data/speech/ (Mozilla Common Voice 22, Cantonese test split, CC0)</t>
  </si>
  <si>
    <t xml:space="preserve">Voice test 5</t>
  </si>
  <si>
    <t xml:space="preserve">灼個菜心，再蒸個水蛋</t>
  </si>
  <si>
    <t xml:space="preserve">blanch, steam</t>
  </si>
  <si>
    <t xml:space="preserve">testing samples (voice clips):</t>
  </si>
  <si>
    <t xml:space="preserve">speakers / minutes of audio:</t>
  </si>
  <si>
    <t xml:space="preserve">167 speakers / 15.2 min</t>
  </si>
  <si>
    <t xml:space="preserve">Voice accuracy (Streamlit Cloud):</t>
  </si>
  <si>
    <t xml:space="preserve">Correct = after 'Turn into text' and 'Plan tonight's menu', the 'Understood' line on the Menu page shows exactly the expected tags.</t>
  </si>
  <si>
    <t xml:space="preserve">Performance (character accuracy = 1 - character error rate)</t>
  </si>
  <si>
    <t xml:space="preserve">Run time (in sec. per clip, CPU)</t>
  </si>
  <si>
    <t xml:space="preserve">Sentence accuracy (no error)</t>
  </si>
  <si>
    <t xml:space="preserve">Parameters (millions)</t>
  </si>
  <si>
    <t xml:space="preserve">alvanlii/whisper-small-cantonese</t>
  </si>
  <si>
    <t xml:space="preserve">safecantonese/whisper-base-yue-hk-mdccl</t>
  </si>
  <si>
    <t xml:space="preserve">scottykwok/wav2vec2-large-xlsr-cantonese</t>
  </si>
  <si>
    <t xml:space="preserve">Each model runs through the app's Transcriber (16 kHz audio; Whisper decodes greedily in Chinese). Errors ignore punctuation, spaces and simplified/traditional differences. Source: notebooks/Model3_speech.ipynb; accuracy cells are formulas over sheet 'P3 clips'.</t>
  </si>
  <si>
    <t xml:space="preserve">alvanlii/whisper-small-cantonese is picked: highest character accuracy; models within one standard error of the best are tied and the shortest run time wins.</t>
  </si>
  <si>
    <t xml:space="preserve">Hand-written test sentence</t>
  </si>
  <si>
    <t xml:space="preserve">Predicted tags (hfl/rbt6, fine-tuned)</t>
  </si>
  <si>
    <t xml:space="preserve">Correct or not</t>
  </si>
  <si>
    <t xml:space="preserve">阿爸牙唔好，想食啲軟熟嘅蒸餸，唔好太甜</t>
  </si>
  <si>
    <t xml:space="preserve">今晚好趕，求其炒兩個餸就算</t>
  </si>
  <si>
    <t xml:space="preserve">stir, quick</t>
  </si>
  <si>
    <t xml:space="preserve">想煲湯，另外加個白灼菜</t>
  </si>
  <si>
    <t xml:space="preserve">blanch, soup</t>
  </si>
  <si>
    <t xml:space="preserve">屋企有三個男仔，肉要多</t>
  </si>
  <si>
    <t xml:space="preserve">最近食得好油，想清清地</t>
  </si>
  <si>
    <t xml:space="preserve">more_veg</t>
  </si>
  <si>
    <t xml:space="preserve">可唔可以蒸魚加個湯</t>
  </si>
  <si>
    <t xml:space="preserve">steam, soup</t>
  </si>
  <si>
    <t xml:space="preserve">七點先放工，要十五分鐘搞得掂</t>
  </si>
  <si>
    <t xml:space="preserve">quick</t>
  </si>
  <si>
    <t xml:space="preserve">婆婆糖尿，醬汁唔可以甜</t>
  </si>
  <si>
    <t xml:space="preserve">less_sweet</t>
  </si>
  <si>
    <t xml:space="preserve">今晚想吃清蒸的，配一個燙青菜</t>
  </si>
  <si>
    <t xml:space="preserve">steam, blanch</t>
  </si>
  <si>
    <t xml:space="preserve">我想喝湯，還要一個快炒</t>
  </si>
  <si>
    <t xml:space="preserve">soup, stir</t>
  </si>
  <si>
    <t xml:space="preserve">something steamed and not sweet</t>
  </si>
  <si>
    <t xml:space="preserve">quick stir fry with lots of veggies</t>
  </si>
  <si>
    <t xml:space="preserve">stir, more_veg, quick</t>
  </si>
  <si>
    <t xml:space="preserve">stir, more_veg</t>
  </si>
  <si>
    <t xml:space="preserve">we want more meat tonight and a soup</t>
  </si>
  <si>
    <t xml:space="preserve">soup, more_meat</t>
  </si>
  <si>
    <t xml:space="preserve">冇特別要求</t>
  </si>
  <si>
    <t xml:space="preserve">(none)</t>
  </si>
  <si>
    <t xml:space="preserve">今晚五個人食</t>
  </si>
  <si>
    <t xml:space="preserve">跟平時一樣就可以</t>
  </si>
  <si>
    <t xml:space="preserve">唔知食乜</t>
  </si>
  <si>
    <t xml:space="preserve">天氣熱冇胃口，想食得清啲，灼菜就夠</t>
  </si>
  <si>
    <t xml:space="preserve">blanch, more_veg</t>
  </si>
  <si>
    <t xml:space="preserve">個仔打完波好肚餓，要多啲肉，快啲有得食</t>
  </si>
  <si>
    <t xml:space="preserve">more_meat, quick</t>
  </si>
  <si>
    <t xml:space="preserve">唔想成身油煙，用蒸嘅</t>
  </si>
  <si>
    <t xml:space="preserve">steam</t>
  </si>
  <si>
    <t xml:space="preserve">落雨天想飲啖熱湯</t>
  </si>
  <si>
    <t xml:space="preserve">soup</t>
  </si>
  <si>
    <t xml:space="preserve">醫生叫佢控制血糖，啲餸唔好落糖</t>
  </si>
  <si>
    <t xml:space="preserve">想食得有鑊氣，炒牛肉都好</t>
  </si>
  <si>
    <t xml:space="preserve">stir</t>
  </si>
  <si>
    <t xml:space="preserve">青菜白灼，蝦都白灼</t>
  </si>
  <si>
    <t xml:space="preserve">blanch</t>
  </si>
  <si>
    <t xml:space="preserve">要有菜有湯，菜要多</t>
  </si>
  <si>
    <t xml:space="preserve">半個鐘內要開飯，蒸啲嘢最方便</t>
  </si>
  <si>
    <t xml:space="preserve">steam, quick</t>
  </si>
  <si>
    <t xml:space="preserve">唔要甜酸排骨嗰類，改做蒸嘅</t>
  </si>
  <si>
    <t xml:space="preserve">老人家同小朋友都食，煲個湯，炒個菜</t>
  </si>
  <si>
    <t xml:space="preserve">多菜少肉，唔好甜</t>
  </si>
  <si>
    <t xml:space="preserve">more_veg, less_sweet</t>
  </si>
  <si>
    <t xml:space="preserve">食肉獸，冇肉唔得</t>
  </si>
  <si>
    <t xml:space="preserve">不想太油膩，蔬菜多一點</t>
  </si>
  <si>
    <t xml:space="preserve">時間不多，簡單炒一炒</t>
  </si>
  <si>
    <t xml:space="preserve">想吃水煮的青菜和蒸蛋</t>
  </si>
  <si>
    <t xml:space="preserve">今晚要控糖，不要加糖</t>
  </si>
  <si>
    <t xml:space="preserve">來一鍋湯，肉多一點</t>
  </si>
  <si>
    <t xml:space="preserve">light dinner, mostly vegetables, no sugar</t>
  </si>
  <si>
    <t xml:space="preserve">I only have 20 minutes</t>
  </si>
  <si>
    <t xml:space="preserve">poached chicken and a clear soup</t>
  </si>
  <si>
    <t xml:space="preserve">six people coming over</t>
  </si>
  <si>
    <t xml:space="preserve">surprise me</t>
  </si>
  <si>
    <t xml:space="preserve">唔好煎炸，蒸同灼就好</t>
  </si>
  <si>
    <t xml:space="preserve">返到屋企都八點，要快手，有湯更好</t>
  </si>
  <si>
    <t xml:space="preserve">soup, quick</t>
  </si>
  <si>
    <t xml:space="preserve">呢排肥咗，想食多啲菜</t>
  </si>
  <si>
    <t xml:space="preserve">阿女減肥，唔食甜嘢，多菜</t>
  </si>
  <si>
    <t xml:space="preserve">想整個滾湯，十分鐘嗰種</t>
  </si>
  <si>
    <t xml:space="preserve">蒸肉餅啦，再炒個菜</t>
  </si>
  <si>
    <t xml:space="preserve">steam, stir</t>
  </si>
  <si>
    <t xml:space="preserve">大家都想食肉，炒嘅</t>
  </si>
  <si>
    <t xml:space="preserve">stir, more_meat</t>
  </si>
  <si>
    <t xml:space="preserve">淨係想食灼菜</t>
  </si>
  <si>
    <t xml:space="preserve">有冇唔使落糖嘅蒸餸</t>
  </si>
  <si>
    <t xml:space="preserve">公公咬唔到硬嘢，煲湯同蒸水蛋</t>
  </si>
  <si>
    <t xml:space="preserve">好攰，唔想諗，快就得</t>
  </si>
  <si>
    <t xml:space="preserve">想食啲惹味小炒，但唔好甜</t>
  </si>
  <si>
    <t xml:space="preserve">stir, less_sweet</t>
  </si>
  <si>
    <t xml:space="preserve">今晚吃素一點</t>
  </si>
  <si>
    <t xml:space="preserve">三菜一湯</t>
  </si>
  <si>
    <t xml:space="preserve">要有魚有菜</t>
  </si>
  <si>
    <t xml:space="preserve">阿媽鍾意食魚</t>
  </si>
  <si>
    <t xml:space="preserve">唔食辣</t>
  </si>
  <si>
    <t xml:space="preserve">兩個大人一個小朋友</t>
  </si>
  <si>
    <t xml:space="preserve">想要白灼海鮮，唔好落醬</t>
  </si>
  <si>
    <t xml:space="preserve">蛋白質要夠，啲仔要長高</t>
  </si>
  <si>
    <t xml:space="preserve">急，蒸</t>
  </si>
  <si>
    <t xml:space="preserve">炒，多肉，快</t>
  </si>
  <si>
    <t xml:space="preserve">stir, more_meat, quick</t>
  </si>
  <si>
    <t xml:space="preserve">湯，菜多，少甜</t>
  </si>
  <si>
    <t xml:space="preserve">soup, more_veg, less_sweet</t>
  </si>
  <si>
    <t xml:space="preserve">唔想食得太膩，清蒸或者白灼都得</t>
  </si>
  <si>
    <t xml:space="preserve">steam, blanch, more_veg</t>
  </si>
  <si>
    <t xml:space="preserve">收工遲，淥個菜炒個蛋算</t>
  </si>
  <si>
    <t xml:space="preserve">blanch, stir, quick</t>
  </si>
  <si>
    <t xml:space="preserve">no sweet sauces, steamed fish would be great</t>
  </si>
  <si>
    <t xml:space="preserve">lots of protein, stir fried</t>
  </si>
  <si>
    <t xml:space="preserve">a warm broth and blanched greens</t>
  </si>
  <si>
    <t xml:space="preserve">想吃有肉的，不要甜</t>
  </si>
  <si>
    <t xml:space="preserve">more_meat, less_sweet</t>
  </si>
  <si>
    <t xml:space="preserve">下班晚了，快點煮好，清淡一點</t>
  </si>
  <si>
    <t xml:space="preserve">more_veg, quick</t>
  </si>
  <si>
    <t xml:space="preserve">蒸的炒的都可以，要有湯</t>
  </si>
  <si>
    <t xml:space="preserve">steam, soup, stir</t>
  </si>
  <si>
    <t xml:space="preserve">唔該整返啲家常小菜</t>
  </si>
  <si>
    <t xml:space="preserve">阿嫲想飲老火湯</t>
  </si>
  <si>
    <t xml:space="preserve">兩餸一湯，炒嘅</t>
  </si>
  <si>
    <t xml:space="preserve">白烚雞同烚菜</t>
  </si>
  <si>
    <t xml:space="preserve">想要蒸水蛋同埋灼生菜</t>
  </si>
  <si>
    <t xml:space="preserve">八點半先開飯，快炒算</t>
  </si>
  <si>
    <t xml:space="preserve">唔好甜，唔好炒，蒸就得</t>
  </si>
  <si>
    <t xml:space="preserve">steam, stir, less_sweet</t>
  </si>
  <si>
    <t xml:space="preserve">肉少啲，菜多啲</t>
  </si>
  <si>
    <t xml:space="preserve">啲男仔話要多肉少菜</t>
  </si>
  <si>
    <t xml:space="preserve">阿爸要戒糖，煲個清湯</t>
  </si>
  <si>
    <t xml:space="preserve">soup, less_sweet</t>
  </si>
  <si>
    <t xml:space="preserve">十五分鐘煮好，灼個菜蒸條魚</t>
  </si>
  <si>
    <t xml:space="preserve">steam, blanch, quick</t>
  </si>
  <si>
    <t xml:space="preserve">想食住家菜</t>
  </si>
  <si>
    <t xml:space="preserve">今晚有客人</t>
  </si>
  <si>
    <t xml:space="preserve">老婆大肚，想食得清淡</t>
  </si>
  <si>
    <t xml:space="preserve">我想要有汁撈飯嘅餸</t>
  </si>
  <si>
    <t xml:space="preserve">唔想洗咁多碗</t>
  </si>
  <si>
    <t xml:space="preserve">蒸魚，炒菜，再加個湯</t>
  </si>
  <si>
    <t xml:space="preserve">湯要足料，肉要多</t>
  </si>
  <si>
    <t xml:space="preserve">用最快嘅方法整餐飯</t>
  </si>
  <si>
    <t xml:space="preserve">唔好落糖同蜜糖</t>
  </si>
  <si>
    <t xml:space="preserve">淨係想食菜，灼就得</t>
  </si>
  <si>
    <t xml:space="preserve">今晚簡單吃，燙個青菜煮個湯</t>
  </si>
  <si>
    <t xml:space="preserve">想吃肉多一點的熱炒</t>
  </si>
  <si>
    <t xml:space="preserve">沒什麼時間，蒸的比較方便</t>
  </si>
  <si>
    <t xml:space="preserve">長輩血糖高，不要甜的</t>
  </si>
  <si>
    <t xml:space="preserve">多一點蔬菜，再來個湯</t>
  </si>
  <si>
    <t xml:space="preserve">隨便煮都可以</t>
  </si>
  <si>
    <t xml:space="preserve">steamed egg and stir-fried greens</t>
  </si>
  <si>
    <t xml:space="preserve">steam, stir, more_veg</t>
  </si>
  <si>
    <t xml:space="preserve">need dinner ready fast, soup is fine</t>
  </si>
  <si>
    <t xml:space="preserve">more veggies, less meat</t>
  </si>
  <si>
    <t xml:space="preserve">no sugar in anything please</t>
  </si>
  <si>
    <t xml:space="preserve">meat lovers tonight</t>
  </si>
  <si>
    <t xml:space="preserve">just the usual</t>
  </si>
  <si>
    <t xml:space="preserve">blanched prawns and steamed fish</t>
  </si>
  <si>
    <t xml:space="preserve">好肚餓，快啲有得食就得</t>
  </si>
  <si>
    <t xml:space="preserve">想食啲鑊氣小炒，多啲肉</t>
  </si>
  <si>
    <t xml:space="preserve">湯水唔好甜</t>
  </si>
  <si>
    <t xml:space="preserve">Query</t>
  </si>
  <si>
    <t xml:space="preserve">Target dish</t>
  </si>
  <si>
    <t xml:space="preserve">Rank of target: character TF-IDF (no model)</t>
  </si>
  <si>
    <t xml:space="preserve">Rank of target: BAAI/bge-small-zh-v1.5</t>
  </si>
  <si>
    <t xml:space="preserve">Rank of target: shibing624/text2vec-base-chinese</t>
  </si>
  <si>
    <t xml:space="preserve">Rank of target: sentence-transformers/paraphrase-multilingual-MiniLM-L12-v2</t>
  </si>
  <si>
    <t xml:space="preserve">青椒鹹豬肉可以點整</t>
  </si>
  <si>
    <t xml:space="preserve">青椒炒鹹豬肉</t>
  </si>
  <si>
    <t xml:space="preserve">想要一道炒嘅肉，材料有鹹豬肉</t>
  </si>
  <si>
    <t xml:space="preserve">街市買到靚紅蘿蔔，想快炒</t>
  </si>
  <si>
    <t xml:space="preserve">紅蘿蔔馬鈴薯炒雞軟骨</t>
  </si>
  <si>
    <t xml:space="preserve">想要一道炒嘅肉類，材料有醃製雞軟骨</t>
  </si>
  <si>
    <t xml:space="preserve">辣椒青椒可以點整</t>
  </si>
  <si>
    <t xml:space="preserve">炒櫻桃鴨胸</t>
  </si>
  <si>
    <t xml:space="preserve">想要一道快炒嘅肉類，材料有櫻桃鴨胸</t>
  </si>
  <si>
    <t xml:space="preserve">街市買到靚水煮五花肉，想炒</t>
  </si>
  <si>
    <t xml:space="preserve">十三香炒回鍋肉</t>
  </si>
  <si>
    <t xml:space="preserve">想要一道小炒嘅肉，材料有鮮豆包</t>
  </si>
  <si>
    <t xml:space="preserve">德國豬腳蒜苗可以點整</t>
  </si>
  <si>
    <t xml:space="preserve">德國豬腳香炒大蒜</t>
  </si>
  <si>
    <t xml:space="preserve">想要一道快炒嘅肉，材料有德國豬腳</t>
  </si>
  <si>
    <t xml:space="preserve">雪櫃得返紅葱頭，點算</t>
  </si>
  <si>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韓式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辣炒排骨 🌶️🌶️🌶️</t>
    </r>
  </si>
  <si>
    <t xml:space="preserve">紅葱末排骨可以點整</t>
  </si>
  <si>
    <t xml:space="preserve">街市買到靚茄子，想炒</t>
  </si>
  <si>
    <t xml:space="preserve">茄子炒肉末</t>
  </si>
  <si>
    <t xml:space="preserve">豬絞肉茄子可以點整</t>
  </si>
  <si>
    <t xml:space="preserve">街市買到靚開水，想快炒</t>
  </si>
  <si>
    <r>
      <rPr>
        <sz val="11"/>
        <rFont val="Noto Sans CJK SC"/>
        <family val="2"/>
      </rPr>
      <t xml:space="preserve">青椒炒肉絲 </t>
    </r>
    <r>
      <rPr>
        <sz val="11"/>
        <rFont val="Arial"/>
        <family val="0"/>
        <charset val="1"/>
      </rPr>
      <t xml:space="preserve">- </t>
    </r>
    <r>
      <rPr>
        <sz val="11"/>
        <rFont val="Noto Sans CJK SC"/>
        <family val="2"/>
      </rPr>
      <t xml:space="preserve">家常料理</t>
    </r>
  </si>
  <si>
    <t xml:space="preserve">雪櫃得返豬里肌絞肉，點算</t>
  </si>
  <si>
    <t xml:space="preserve">想要一道清蒸嘅肉類，材料有山藥泥</t>
  </si>
  <si>
    <t xml:space="preserve">清蒸山藥｜三鮮肉丸</t>
  </si>
  <si>
    <t xml:space="preserve">芹菜粒豬絞肉可以點整</t>
  </si>
  <si>
    <t xml:space="preserve">想要一道快炒嘅肉類，材料有金針菇</t>
  </si>
  <si>
    <t xml:space="preserve">韭菜肉片炒金針菇</t>
  </si>
  <si>
    <t xml:space="preserve">雪櫃得返金針菇，點算</t>
  </si>
  <si>
    <t xml:space="preserve">豆乾蒜苗可以點整</t>
  </si>
  <si>
    <t xml:space="preserve">蒜苗炒鴨賞</t>
  </si>
  <si>
    <t xml:space="preserve">想要一道炒嘅肉類，材料有蒜苗</t>
  </si>
  <si>
    <t xml:space="preserve">街市買到靚洋蔥，想水煮</t>
  </si>
  <si>
    <t xml:space="preserve">『涼拌皮蛋』－清爽、酸辣、開胃。</t>
  </si>
  <si>
    <t xml:space="preserve">皮蛋洋蔥可以點整</t>
  </si>
  <si>
    <t xml:space="preserve">想要一道炒嘅肉，材料有高麗菜乾</t>
  </si>
  <si>
    <t xml:space="preserve">豬肉辣炒高麗菜乾</t>
  </si>
  <si>
    <t xml:space="preserve">街市買到靚辣椒，想快炒</t>
  </si>
  <si>
    <t xml:space="preserve">街市買到靚雞蛋，想炒</t>
  </si>
  <si>
    <t xml:space="preserve">奶油蕃茄炒蛋</t>
  </si>
  <si>
    <t xml:space="preserve">想要一道快炒嘅肉類，材料有雞蛋</t>
  </si>
  <si>
    <t xml:space="preserve">碗或盤子小黃瓜可以點整</t>
  </si>
  <si>
    <t xml:space="preserve">涼拌小黃瓜雞絲</t>
  </si>
  <si>
    <t xml:space="preserve">雪櫃得返碗或盤子，點算</t>
  </si>
  <si>
    <t xml:space="preserve">雞胸肉片毛豆仁可以點整</t>
  </si>
  <si>
    <t xml:space="preserve">雞胸肉豆腐蒸蛋</t>
  </si>
  <si>
    <t xml:space="preserve">雪櫃得返毛豆仁，點算</t>
  </si>
  <si>
    <t xml:space="preserve">想要一道快炒嘅肉類，材料有胡蘿蔔</t>
  </si>
  <si>
    <t xml:space="preserve">蘿蔓炒肉末</t>
  </si>
  <si>
    <t xml:space="preserve">街市買到靚豬絞肉，想小炒</t>
  </si>
  <si>
    <t xml:space="preserve">街市買到靚五花肉條，想小炒</t>
  </si>
  <si>
    <t xml:space="preserve">竹篙筍炒肉絲</t>
  </si>
  <si>
    <t xml:space="preserve">想要一道小炒嘅肉，材料有太白粉</t>
  </si>
  <si>
    <t xml:space="preserve">辣椒牛三寶可以點整</t>
  </si>
  <si>
    <t xml:space="preserve">好市多牛三寶炒蒜苗</t>
  </si>
  <si>
    <t xml:space="preserve">想要一道快炒嘅肉類，材料有牛三寶</t>
  </si>
  <si>
    <r>
      <rPr>
        <sz val="11"/>
        <rFont val="Noto Sans CJK SC"/>
        <family val="2"/>
      </rPr>
      <t xml:space="preserve">街市買到靚</t>
    </r>
    <r>
      <rPr>
        <sz val="11"/>
        <rFont val="Arial"/>
        <family val="0"/>
        <charset val="1"/>
      </rPr>
      <t xml:space="preserve">A</t>
    </r>
    <r>
      <rPr>
        <sz val="11"/>
        <rFont val="Noto Sans CJK SC"/>
        <family val="2"/>
      </rPr>
      <t xml:space="preserve">菜心，想炒</t>
    </r>
  </si>
  <si>
    <t xml:space="preserve">鹹豬肉炒菜心</t>
  </si>
  <si>
    <r>
      <rPr>
        <sz val="11"/>
        <rFont val="Arial"/>
        <family val="0"/>
        <charset val="1"/>
      </rPr>
      <t xml:space="preserve">A</t>
    </r>
    <r>
      <rPr>
        <sz val="11"/>
        <rFont val="Noto Sans CJK SC"/>
        <family val="2"/>
      </rPr>
      <t xml:space="preserve">菜心鹹豬肉可以點整</t>
    </r>
  </si>
  <si>
    <t xml:space="preserve">想要一道快炒嘅肉類，材料有雞胸</t>
  </si>
  <si>
    <t xml:space="preserve">甜豆炒雞胸</t>
  </si>
  <si>
    <t xml:space="preserve">紅蘿蔔甜豆可以點整</t>
  </si>
  <si>
    <t xml:space="preserve">街市買到靚新鮮香菇，想快炒</t>
  </si>
  <si>
    <t xml:space="preserve">香菇肉末炒龍鬚菜</t>
  </si>
  <si>
    <t xml:space="preserve">新鮮香菇絞肉可以點整</t>
  </si>
  <si>
    <t xml:space="preserve">街市買到靚白芝麻，想炒</t>
  </si>
  <si>
    <t xml:space="preserve">韓式泡菜炒黑毛豬</t>
  </si>
  <si>
    <t xml:space="preserve">想要一道快炒嘅肉，材料有韓式辣椒粉</t>
  </si>
  <si>
    <t xml:space="preserve">想要一道快炒嘅肉，材料有爆香麻辣雞肝</t>
  </si>
  <si>
    <t xml:space="preserve">爆香麻辣雞肝</t>
  </si>
  <si>
    <t xml:space="preserve">雪櫃得返爆香麻辣雞肝，點算</t>
  </si>
  <si>
    <t xml:space="preserve">雪櫃得返臘肉，點算</t>
  </si>
  <si>
    <t xml:space="preserve">蒜苗炒臘肉</t>
  </si>
  <si>
    <t xml:space="preserve">街市買到靚臘肉，想小炒</t>
  </si>
  <si>
    <t xml:space="preserve">街市買到靚不會失敗的蒸蛋，想蒸</t>
  </si>
  <si>
    <t xml:space="preserve">不會失敗的蒸蛋</t>
  </si>
  <si>
    <t xml:space="preserve">雪櫃得返不會失敗的蒸蛋，點算</t>
  </si>
  <si>
    <t xml:space="preserve">肉絲紅蘿蔔可以點整</t>
  </si>
  <si>
    <t xml:space="preserve">紅蘿蔔炒肉絲</t>
  </si>
  <si>
    <t xml:space="preserve">想要一道炒嘅肉，材料有肉絲</t>
  </si>
  <si>
    <t xml:space="preserve">芥藍菜鹹豬肉可以點整</t>
  </si>
  <si>
    <t xml:space="preserve">芥藍菜炒鹹豬肉</t>
  </si>
  <si>
    <t xml:space="preserve">雪櫃得返鹹豬肉，點算</t>
  </si>
  <si>
    <t xml:space="preserve">香菜辣椒可以點整</t>
  </si>
  <si>
    <t xml:space="preserve">白切雞</t>
  </si>
  <si>
    <t xml:space="preserve">想要一道灼嘅肉，材料有去骨雞腿肉</t>
  </si>
  <si>
    <t xml:space="preserve">想要一道小炒嘅肉，材料有鹹豬肉</t>
  </si>
  <si>
    <t xml:space="preserve">洋蔥炒鹹豬肉</t>
  </si>
  <si>
    <t xml:space="preserve">街市買到靚鹹豬肉，想快炒</t>
  </si>
  <si>
    <t xml:space="preserve">街市買到靚樹子，想蒸嘅</t>
  </si>
  <si>
    <t xml:space="preserve">樹子蒸魚（電鍋）</t>
  </si>
  <si>
    <t xml:space="preserve">新鮮魚樹子汁可以點整</t>
  </si>
  <si>
    <t xml:space="preserve">街市買到靚菠菜，想炒</t>
  </si>
  <si>
    <t xml:space="preserve">菠菜炒鴻禧菇</t>
  </si>
  <si>
    <t xml:space="preserve">雪櫃得返鴻禧菇，點算</t>
  </si>
  <si>
    <t xml:space="preserve">街市買到靚中華嫩豆腐，想清蒸</t>
  </si>
  <si>
    <r>
      <rPr>
        <sz val="11"/>
        <rFont val="Noto Sans CJK SC"/>
        <family val="2"/>
      </rPr>
      <t xml:space="preserve">【 蒜蓉蒸蝦 】－小家庭年菜企劃</t>
    </r>
    <r>
      <rPr>
        <sz val="11"/>
        <rFont val="Arial"/>
        <family val="0"/>
        <charset val="1"/>
      </rPr>
      <t xml:space="preserve">(4)</t>
    </r>
  </si>
  <si>
    <t xml:space="preserve">想要一道清蒸嘅海產，材料有大蝦</t>
  </si>
  <si>
    <t xml:space="preserve">雪櫃得返魚皮，點算</t>
  </si>
  <si>
    <t xml:space="preserve">涼拌魚皮</t>
  </si>
  <si>
    <t xml:space="preserve">想要一道水煮嘅海鮮，材料有香菜</t>
  </si>
  <si>
    <t xml:space="preserve">雪櫃得返石斑魚，點算</t>
  </si>
  <si>
    <t xml:space="preserve">清蒸石斑魚</t>
  </si>
  <si>
    <t xml:space="preserve">想要一道清蒸嘅海產，材料有味霖</t>
  </si>
  <si>
    <t xml:space="preserve">街市買到靚蝦仁，想快炒</t>
  </si>
  <si>
    <t xml:space="preserve">白花椰菜炒蝦仁</t>
  </si>
  <si>
    <t xml:space="preserve">雪櫃得返白花椰菜，點算</t>
  </si>
  <si>
    <t xml:space="preserve">蝦仁毛豆可以點整</t>
  </si>
  <si>
    <t xml:space="preserve">蝦仁炒毛豆</t>
  </si>
  <si>
    <t xml:space="preserve">想要一道小炒嘅海產，材料有毛豆</t>
  </si>
  <si>
    <t xml:space="preserve">雪櫃得返毛肚，點算</t>
  </si>
  <si>
    <t xml:space="preserve">洋蔥毛肚炒蒜苗</t>
  </si>
  <si>
    <t xml:space="preserve">街市買到靚洋蔥，想小炒</t>
  </si>
  <si>
    <t xml:space="preserve">雪櫃得返花枝，點算</t>
  </si>
  <si>
    <t xml:space="preserve">芹菜炒花枝</t>
  </si>
  <si>
    <t xml:space="preserve">想要一道蒸嘅海產，材料有鹹水吳郭魚</t>
  </si>
  <si>
    <r>
      <rPr>
        <sz val="11"/>
        <rFont val="Noto Sans CJK SC"/>
        <family val="2"/>
      </rPr>
      <t xml:space="preserve">懶人蒸爐料理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鳳梨醬蒸魚</t>
    </r>
  </si>
  <si>
    <t xml:space="preserve">鹹水吳郭魚鹹水吳郭魚可以點整</t>
  </si>
  <si>
    <t xml:space="preserve">冬粉冬粉可以點整</t>
  </si>
  <si>
    <t xml:space="preserve">蒜蓉蒸蝦</t>
  </si>
  <si>
    <t xml:space="preserve">想要一道蒸嘅海鮮，材料有冬粉</t>
  </si>
  <si>
    <t xml:space="preserve">街市買到靚芹菜，想蒸嘅</t>
  </si>
  <si>
    <t xml:space="preserve">蓮藕片蒸鱸魚</t>
  </si>
  <si>
    <t xml:space="preserve">雪櫃得返蓮藕，點算</t>
  </si>
  <si>
    <t xml:space="preserve">想要一道炒嘅海產，材料有花椰菜</t>
  </si>
  <si>
    <t xml:space="preserve">蒜香鮮蝦炒彩蔬</t>
  </si>
  <si>
    <t xml:space="preserve">雪櫃得返花椰菜，點算</t>
  </si>
  <si>
    <r>
      <rPr>
        <sz val="11"/>
        <rFont val="Noto Sans CJK SC"/>
        <family val="2"/>
      </rPr>
      <t xml:space="preserve">薑絲青江菜炒花枝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快速料理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薑絲青江菜炒花枝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快速料理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可以點整</t>
    </r>
  </si>
  <si>
    <r>
      <rPr>
        <sz val="11"/>
        <rFont val="Noto Sans CJK SC"/>
        <family val="2"/>
      </rPr>
      <t xml:space="preserve">薑絲青江菜炒花枝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快速料理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</si>
  <si>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雪櫃得返薑絲青江菜炒花枝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快速料理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，點算</t>
    </r>
  </si>
  <si>
    <t xml:space="preserve">街市買到靚嫩豆腐，想蒸嘅</t>
  </si>
  <si>
    <t xml:space="preserve">蝦仁蒸蛋豆腐</t>
  </si>
  <si>
    <t xml:space="preserve">想要一道蒸嘅海產，材料有柴魚粉</t>
  </si>
  <si>
    <t xml:space="preserve">雪櫃得返紅蘿蔔，點算</t>
  </si>
  <si>
    <t xml:space="preserve">泰式炒粿條</t>
  </si>
  <si>
    <t xml:space="preserve">街市買到靚豆芽，想快炒</t>
  </si>
  <si>
    <t xml:space="preserve">飛魚卵香腸飛魚卵香腸可以點整</t>
  </si>
  <si>
    <t xml:space="preserve">炒飛魚卵香腸</t>
  </si>
  <si>
    <t xml:space="preserve">雪櫃得返飛魚卵香腸，點算</t>
  </si>
  <si>
    <t xml:space="preserve">義式香料粉鮑魚清肉可以點整</t>
  </si>
  <si>
    <t xml:space="preserve">蒜炒奶油鮑魚【鮑魚這樣煮超好吃】</t>
  </si>
  <si>
    <t xml:space="preserve">街市買到靚義式香料粉，想快炒</t>
  </si>
  <si>
    <t xml:space="preserve">雪櫃得返烏格魚，點算</t>
  </si>
  <si>
    <t xml:space="preserve">清蒸烏格魚（黑鯛）</t>
  </si>
  <si>
    <t xml:space="preserve">想要一道蒸嘅海鮮，材料有辣椒絲</t>
  </si>
  <si>
    <t xml:space="preserve">想要一道小炒嘅海鮮，材料有高麗菜</t>
  </si>
  <si>
    <t xml:space="preserve">古早味鯖魚罐頭炒高麗菜</t>
  </si>
  <si>
    <t xml:space="preserve">白芝麻鯖魚罐頭可以點整</t>
  </si>
  <si>
    <t xml:space="preserve">紅棗紅棗可以點整</t>
  </si>
  <si>
    <t xml:space="preserve">免炒無油無糖自製棗泥</t>
  </si>
  <si>
    <t xml:space="preserve">雪櫃得返紅棗，點算</t>
  </si>
  <si>
    <t xml:space="preserve">小黃瓜火腿片可以點整</t>
  </si>
  <si>
    <t xml:space="preserve">小黃瓜炒杏鮑菇及火腿片</t>
  </si>
  <si>
    <t xml:space="preserve">雪櫃得返杏鮑菇，點算</t>
  </si>
  <si>
    <t xml:space="preserve">黑木耳胡蘿蔔素可以點整</t>
  </si>
  <si>
    <r>
      <rPr>
        <sz val="11"/>
        <rFont val="Noto Sans CJK SC"/>
        <family val="2"/>
      </rPr>
      <t xml:space="preserve">家常小菜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涼拌干絲</t>
    </r>
  </si>
  <si>
    <t xml:space="preserve">想要一道灼嘅蔬菜，材料有干絲</t>
  </si>
  <si>
    <t xml:space="preserve">雪櫃得返櫛瓜，點算</t>
  </si>
  <si>
    <t xml:space="preserve">義式香料清炒櫛瓜</t>
  </si>
  <si>
    <t xml:space="preserve">想要一道小炒嘅蔬菜，材料有櫛瓜</t>
  </si>
  <si>
    <t xml:space="preserve">街市買到靚姜片，想蒸嘅</t>
  </si>
  <si>
    <t xml:space="preserve">百合蒸东星斑</t>
  </si>
  <si>
    <t xml:space="preserve">雪櫃得返姜片，點算</t>
  </si>
  <si>
    <t xml:space="preserve">青椒豆乾可以點整</t>
  </si>
  <si>
    <t xml:space="preserve">青椒醬炒豆乾</t>
  </si>
  <si>
    <t xml:space="preserve">雪櫃得返青椒，點算</t>
  </si>
  <si>
    <t xml:space="preserve">紅辣椒杏鮑菇可以點整</t>
  </si>
  <si>
    <t xml:space="preserve">【山藥糯米椒炒杏鮑菇】</t>
  </si>
  <si>
    <t xml:space="preserve">雪櫃得返紅辣椒，點算</t>
  </si>
  <si>
    <t xml:space="preserve">想要一道炒嘅菜，材料有角螺</t>
  </si>
  <si>
    <t xml:space="preserve">紅蘿蔔炒豆皮角螺</t>
  </si>
  <si>
    <t xml:space="preserve">雪櫃得返角螺，點算</t>
  </si>
  <si>
    <t xml:space="preserve">小黃瓜小黃瓜可以點整</t>
  </si>
  <si>
    <t xml:space="preserve">清炒小黃瓜</t>
  </si>
  <si>
    <t xml:space="preserve">想要一道快炒嘅蔬菜，材料有小黃瓜</t>
  </si>
  <si>
    <t xml:space="preserve">木耳萵筍可以點整</t>
  </si>
  <si>
    <r>
      <rPr>
        <sz val="11"/>
        <rFont val="Noto Sans CJK SC"/>
        <family val="2"/>
      </rPr>
      <t xml:space="preserve">炒萵筍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五彩</t>
    </r>
    <r>
      <rPr>
        <sz val="11"/>
        <rFont val="Arial"/>
        <family val="0"/>
        <charset val="1"/>
      </rPr>
      <t xml:space="preserve">)</t>
    </r>
  </si>
  <si>
    <t xml:space="preserve">想要一道快炒嘅蔬菜，材料有各種彩椒</t>
  </si>
  <si>
    <t xml:space="preserve">想要一道小炒嘅蔬菜，材料有小黃瓜</t>
  </si>
  <si>
    <t xml:space="preserve">小黃瓜炒杏鮑菇</t>
  </si>
  <si>
    <t xml:space="preserve">杏鮑菇小黃瓜可以點整</t>
  </si>
  <si>
    <t xml:space="preserve">雪櫃得返辣椒，點算</t>
  </si>
  <si>
    <t xml:space="preserve">炒結頭菜乾</t>
  </si>
  <si>
    <t xml:space="preserve">辣椒結頭菜乾可以點整</t>
  </si>
  <si>
    <t xml:space="preserve">山藥炒五香豆干🤤</t>
  </si>
  <si>
    <t xml:space="preserve">想要一道小炒嘅蔬菜，材料有山藥</t>
  </si>
  <si>
    <t xml:space="preserve">想要一道水煮嘅菜，材料有紅蘿蔔</t>
  </si>
  <si>
    <t xml:space="preserve">涼拌干絲</t>
  </si>
  <si>
    <t xml:space="preserve">街市買到靚紅蘿蔔，想水煮</t>
  </si>
  <si>
    <t xml:space="preserve">街市買到靚小白菜，想小炒</t>
  </si>
  <si>
    <t xml:space="preserve">素食版的粄條😋 蔬炒粄條🤤</t>
  </si>
  <si>
    <t xml:space="preserve">紅蘿蔔小番茄可以點整</t>
  </si>
  <si>
    <t xml:space="preserve">高麗菜撕小片小黃瓜切片可以點整</t>
  </si>
  <si>
    <t xml:space="preserve">薑絲高麗菜炒小黃瓜</t>
  </si>
  <si>
    <t xml:space="preserve">雪櫃得返高麗菜撕小片，點算</t>
  </si>
  <si>
    <t xml:space="preserve">花生花生可以點整</t>
  </si>
  <si>
    <t xml:space="preserve">鹽炒花生</t>
  </si>
  <si>
    <t xml:space="preserve">街市買到靚花生，想小炒</t>
  </si>
  <si>
    <t xml:space="preserve">想要一道快炒嘅蔬菜，材料有生花生</t>
  </si>
  <si>
    <t xml:space="preserve">炒花生糖</t>
  </si>
  <si>
    <t xml:space="preserve">街市買到靚白芝麻，想快炒</t>
  </si>
  <si>
    <t xml:space="preserve">四季豆辣椒可以點整</t>
  </si>
  <si>
    <t xml:space="preserve">乾爆剁椒四季豆</t>
  </si>
  <si>
    <t xml:space="preserve">黃椒玉米筍可以點整</t>
  </si>
  <si>
    <t xml:space="preserve">義式香料炒時蔬</t>
  </si>
  <si>
    <t xml:space="preserve">街市買到靚紅椒，想快炒</t>
  </si>
  <si>
    <t xml:space="preserve">街市買到靚鴻禧菇，想炒</t>
  </si>
  <si>
    <t xml:space="preserve">甜豌豆炒菇</t>
  </si>
  <si>
    <t xml:space="preserve">雪櫃得返花生，點算</t>
  </si>
  <si>
    <t xml:space="preserve">想要一道白灼嘅菜，材料有味醂</t>
  </si>
  <si>
    <t xml:space="preserve">蒜味涼拌茄子</t>
  </si>
  <si>
    <t xml:space="preserve">街市買到靚香菜末，想灼</t>
  </si>
  <si>
    <t xml:space="preserve">想要一道小炒嘅蔬菜，材料有豆腐乳與汁</t>
  </si>
  <si>
    <t xml:space="preserve">豆腐乳豆豉炒菜心</t>
  </si>
  <si>
    <t xml:space="preserve">白芝麻豆腐乳與汁可以點整</t>
  </si>
  <si>
    <t xml:space="preserve">想要一道小炒嘅菜，材料有黑木耳</t>
  </si>
  <si>
    <t xml:space="preserve">芹菜小黃瓜炒豆腐</t>
  </si>
  <si>
    <t xml:space="preserve">雪櫃得返黑木耳，點算</t>
  </si>
  <si>
    <t xml:space="preserve">辣椒小黃瓜可以點整</t>
  </si>
  <si>
    <r>
      <rPr>
        <sz val="11"/>
        <rFont val="Noto Sans CJK SC"/>
        <family val="2"/>
      </rPr>
      <t xml:space="preserve">『涼拌海蜇皮』－年菜經典冷盤</t>
    </r>
    <r>
      <rPr>
        <sz val="11"/>
        <rFont val="Arial"/>
        <family val="0"/>
        <charset val="1"/>
      </rPr>
      <t xml:space="preserve">(2)</t>
    </r>
  </si>
  <si>
    <t xml:space="preserve">街市買到靚小黃瓜，想水煮</t>
  </si>
  <si>
    <t xml:space="preserve">街市買到靚菜心，想小炒</t>
  </si>
  <si>
    <t xml:space="preserve">蒜炒菜心</t>
  </si>
  <si>
    <t xml:space="preserve">想要一道小炒嘅菜，材料有菜心</t>
  </si>
  <si>
    <t xml:space="preserve">想要一道小炒嘅蔬菜，材料有辣椒</t>
  </si>
  <si>
    <t xml:space="preserve">黑胡椒炒鳳螺</t>
  </si>
  <si>
    <t xml:space="preserve">街市買到靚辣椒，想炒</t>
  </si>
  <si>
    <t xml:space="preserve">街市買到靚小芥菜，想炒</t>
  </si>
  <si>
    <t xml:space="preserve">清炒小芥菜</t>
  </si>
  <si>
    <t xml:space="preserve">想要一道快炒嘅菜，材料有小芥菜</t>
  </si>
  <si>
    <t xml:space="preserve">雪櫃得返萵筍，點算</t>
  </si>
  <si>
    <r>
      <rPr>
        <sz val="11"/>
        <rFont val="Noto Sans CJK SC"/>
        <family val="2"/>
      </rPr>
      <t xml:space="preserve">涼拌萵筍 </t>
    </r>
    <r>
      <rPr>
        <sz val="11"/>
        <rFont val="Arial"/>
        <family val="0"/>
        <charset val="1"/>
      </rPr>
      <t xml:space="preserve">( A</t>
    </r>
    <r>
      <rPr>
        <sz val="11"/>
        <rFont val="Noto Sans CJK SC"/>
        <family val="2"/>
      </rPr>
      <t xml:space="preserve">菜心 </t>
    </r>
    <r>
      <rPr>
        <sz val="11"/>
        <rFont val="Arial"/>
        <family val="0"/>
        <charset val="1"/>
      </rPr>
      <t xml:space="preserve">)</t>
    </r>
  </si>
  <si>
    <t xml:space="preserve">想要一道灼嘅菜，材料有辣椒</t>
  </si>
  <si>
    <t xml:space="preserve">想要一道白灼嘅菜，材料有萵筍</t>
  </si>
  <si>
    <r>
      <rPr>
        <sz val="11"/>
        <rFont val="Noto Sans CJK SC"/>
        <family val="2"/>
      </rPr>
      <t xml:space="preserve">《料理簡單做》涼拌萵筍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菜心</t>
    </r>
  </si>
  <si>
    <t xml:space="preserve">街市買到靚芹菜，想炒</t>
  </si>
  <si>
    <t xml:space="preserve">芹菜鮮蔬炒豆乾</t>
  </si>
  <si>
    <t xml:space="preserve">想要一道小炒嘅蔬菜，材料有杏鮑菇</t>
  </si>
  <si>
    <t xml:space="preserve">街市買到靚紅蘿蔔絲，想水煮</t>
  </si>
  <si>
    <t xml:space="preserve">涼拌櫛瓜</t>
  </si>
  <si>
    <t xml:space="preserve">雪櫃得返紅蘿蔔絲，點算</t>
  </si>
  <si>
    <t xml:space="preserve">雪櫃得返高麗菜，點算</t>
  </si>
  <si>
    <t xml:space="preserve">涼拌高麗菜絲</t>
  </si>
  <si>
    <t xml:space="preserve">街市買到靚高麗菜，想水煮</t>
  </si>
  <si>
    <t xml:space="preserve">想要一道小炒嘅蔬菜，材料有小白菜</t>
  </si>
  <si>
    <r>
      <rPr>
        <sz val="11"/>
        <rFont val="Noto Sans CJK SC"/>
        <family val="2"/>
      </rPr>
      <t xml:space="preserve">蒜炒小白菜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快炒</t>
    </r>
    <r>
      <rPr>
        <sz val="11"/>
        <rFont val="Arial"/>
        <family val="0"/>
        <charset val="1"/>
      </rPr>
      <t xml:space="preserve">/5</t>
    </r>
    <r>
      <rPr>
        <sz val="11"/>
        <rFont val="Noto Sans CJK SC"/>
        <family val="2"/>
      </rPr>
      <t xml:space="preserve">分鐘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簡單快速</t>
    </r>
  </si>
  <si>
    <t xml:space="preserve">街市買到靚小白菜，想炒</t>
  </si>
  <si>
    <t xml:space="preserve">街市買到靚鮮蚵仔，想湯</t>
  </si>
  <si>
    <t xml:space="preserve">鹹菜鮮蚵蛤蜊湯</t>
  </si>
  <si>
    <t xml:space="preserve">想要一道滾湯嘅湯水，材料有蛤蜊</t>
  </si>
  <si>
    <t xml:space="preserve">想要一道湯嘅湯，材料有木耳</t>
  </si>
  <si>
    <t xml:space="preserve">酸辣湯</t>
  </si>
  <si>
    <t xml:space="preserve">街市買到靚木耳，想湯</t>
  </si>
  <si>
    <t xml:space="preserve">乾香菇排骨可以點整</t>
  </si>
  <si>
    <t xml:space="preserve">排骨山藥木鱉果湯</t>
  </si>
  <si>
    <t xml:space="preserve">雪櫃得返山藥，點算</t>
  </si>
  <si>
    <t xml:space="preserve">街市買到靚香菇，想湯</t>
  </si>
  <si>
    <t xml:space="preserve">鹹口味七彩琉璃湯圓</t>
  </si>
  <si>
    <t xml:space="preserve">茼萵菜七彩琉璃湯圓可以點整</t>
  </si>
  <si>
    <t xml:space="preserve">街市買到靚茼蒿菜，想煲湯</t>
  </si>
  <si>
    <r>
      <rPr>
        <sz val="11"/>
        <rFont val="Noto Sans CJK SC"/>
        <family val="2"/>
      </rPr>
      <t xml:space="preserve">🍲懶人火鍋</t>
    </r>
    <r>
      <rPr>
        <sz val="11"/>
        <rFont val="Arial"/>
        <family val="0"/>
        <charset val="1"/>
      </rPr>
      <t xml:space="preserve">_</t>
    </r>
    <r>
      <rPr>
        <sz val="11"/>
        <rFont val="Noto Sans CJK SC"/>
        <family val="2"/>
      </rPr>
      <t xml:space="preserve">康寶極湯味日式高湯包</t>
    </r>
  </si>
  <si>
    <t xml:space="preserve">想要一道滾湯嘅湯水，材料有貢丸</t>
  </si>
  <si>
    <t xml:space="preserve">雪櫃得返大白菜，點算</t>
  </si>
  <si>
    <t xml:space="preserve">白菜蛋花湯</t>
  </si>
  <si>
    <t xml:space="preserve">街市買到靚大白菜，想滾湯</t>
  </si>
  <si>
    <t xml:space="preserve">芥菜紅蘿蔔可以點整</t>
  </si>
  <si>
    <t xml:space="preserve">榭黃芥菜羹｜立春節氣料理</t>
  </si>
  <si>
    <t xml:space="preserve">雪櫃得返芥菜，點算</t>
  </si>
  <si>
    <t xml:space="preserve">街市買到靚蛤蠣，想煲湯</t>
  </si>
  <si>
    <r>
      <rPr>
        <sz val="11"/>
        <rFont val="Noto Sans CJK SC"/>
        <family val="2"/>
      </rPr>
      <t xml:space="preserve">鹹菜蒜頭蛤蠣雞湯（電鍋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一鍋到底）</t>
    </r>
  </si>
  <si>
    <t xml:space="preserve">雪櫃得返蛤蠣，點算</t>
  </si>
  <si>
    <t xml:space="preserve">想要一道滾湯嘅湯水，材料有雞腿塊</t>
  </si>
  <si>
    <r>
      <rPr>
        <sz val="11"/>
        <rFont val="Arial"/>
        <family val="0"/>
        <charset val="1"/>
      </rPr>
      <t xml:space="preserve">*</t>
    </r>
    <r>
      <rPr>
        <sz val="11"/>
        <rFont val="Noto Sans CJK SC"/>
        <family val="2"/>
      </rPr>
      <t xml:space="preserve">蔥薑蒜</t>
    </r>
    <r>
      <rPr>
        <sz val="11"/>
        <rFont val="Arial"/>
        <family val="0"/>
        <charset val="1"/>
      </rPr>
      <t xml:space="preserve">* </t>
    </r>
    <r>
      <rPr>
        <sz val="11"/>
        <rFont val="Noto Sans CJK SC"/>
        <family val="2"/>
      </rPr>
      <t xml:space="preserve">香菇雞湯</t>
    </r>
  </si>
  <si>
    <t xml:space="preserve">雪櫃得返洋蔥，點算</t>
  </si>
  <si>
    <t xml:space="preserve">街市買到靚山藥，想湯</t>
  </si>
  <si>
    <t xml:space="preserve">山藥排骨湯</t>
  </si>
  <si>
    <t xml:space="preserve">山藥玉米可以點整</t>
  </si>
  <si>
    <t xml:space="preserve">雪櫃得返乾香菇，點算</t>
  </si>
  <si>
    <t xml:space="preserve">瓜仔排骨湯</t>
  </si>
  <si>
    <t xml:space="preserve">想要一道煲湯嘅湯，材料有脆瓜</t>
  </si>
  <si>
    <t xml:space="preserve">豬血豬小腸可以點整</t>
  </si>
  <si>
    <t xml:space="preserve">酸菜豬血湯</t>
  </si>
  <si>
    <t xml:space="preserve">想要一道煲湯嘅湯，材料有豬血</t>
  </si>
  <si>
    <t xml:space="preserve">雪櫃得返蛤蜊，點算</t>
  </si>
  <si>
    <t xml:space="preserve">薑絲石斑魚蛤蜊湯</t>
  </si>
  <si>
    <t xml:space="preserve">蛤蜊石斑魚肉可以點整</t>
  </si>
  <si>
    <t xml:space="preserve">想要一道湯嘅湯，材料有紅蘿蔔</t>
  </si>
  <si>
    <t xml:space="preserve">清燉牛肉湯</t>
  </si>
  <si>
    <t xml:space="preserve">街市買到靚全聯牛肋條，想煲湯</t>
  </si>
  <si>
    <t xml:space="preserve">客家鹹湯圓的“炒料”</t>
  </si>
  <si>
    <t xml:space="preserve">想要一道湯嘅湯，材料有蒜苗</t>
  </si>
  <si>
    <t xml:space="preserve">Clip (data/speech/)</t>
  </si>
  <si>
    <t xml:space="preserve">Reference transcript (Common Voice)</t>
  </si>
  <si>
    <t xml:space="preserve">Reference characters</t>
  </si>
  <si>
    <t xml:space="preserve">Heard: alvanlii/whisper-small-cantonese</t>
  </si>
  <si>
    <t xml:space="preserve">Character errors: alvanlii/whisper-small-cantonese</t>
  </si>
  <si>
    <t xml:space="preserve">Heard: safecantonese/whisper-base-yue-hk-mdccl</t>
  </si>
  <si>
    <t xml:space="preserve">Character errors: safecantonese/whisper-base-yue-hk-mdccl</t>
  </si>
  <si>
    <t xml:space="preserve">Heard: scottykwok/wav2vec2-large-xlsr-cantonese</t>
  </si>
  <si>
    <t xml:space="preserve">Character errors: scottykwok/wav2vec2-large-xlsr-cantonese</t>
  </si>
  <si>
    <t xml:space="preserve">clips/62688a856cdac0a9.flac</t>
  </si>
  <si>
    <t xml:space="preserve">相思歸去日已暮</t>
  </si>
  <si>
    <t xml:space="preserve">相思歸去日已冇</t>
  </si>
  <si>
    <t xml:space="preserve">將使閨去日以後</t>
  </si>
  <si>
    <t xml:space="preserve">相先歸去日意舞</t>
  </si>
  <si>
    <t xml:space="preserve">clips/5fe7bfedd9ff3351.flac</t>
  </si>
  <si>
    <t xml:space="preserve">任何人，無論你尋日幾風光，今日都可能身敗名裂</t>
  </si>
  <si>
    <t xml:space="preserve">任何人，無論你尋日幾光光，今日都可能心敗名裂</t>
  </si>
  <si>
    <t xml:space="preserve">任何人無論你尋日幾寬瓜今日都可能心拜明列</t>
  </si>
  <si>
    <t xml:space="preserve">任何人無論你尋一幾方光今日都果論心拜明列</t>
  </si>
  <si>
    <t xml:space="preserve">clips/213eb1994cbab4d2.flac</t>
  </si>
  <si>
    <t xml:space="preserve">然後搞到自己一身蟻</t>
  </si>
  <si>
    <t xml:space="preserve">然後搞到自己一身藝</t>
  </si>
  <si>
    <t xml:space="preserve">然後攪到自己一新蟻</t>
  </si>
  <si>
    <t xml:space="preserve">clips/4181e5dd5b12a14c.flac</t>
  </si>
  <si>
    <t xml:space="preserve">阿拉伯人好靚啊</t>
  </si>
  <si>
    <t xml:space="preserve">阿拉伯人好靚呀</t>
  </si>
  <si>
    <t xml:space="preserve">阿拉白人好靚呀</t>
  </si>
  <si>
    <t xml:space="preserve">clips/5130e2c5cb2fbde2.flac</t>
  </si>
  <si>
    <t xml:space="preserve">依家出街唔使睇綠碼</t>
  </si>
  <si>
    <t xml:space="preserve">而家出街唔使睇鹿馬</t>
  </si>
  <si>
    <t xml:space="preserve">而家出街唔使睇錄碼</t>
  </si>
  <si>
    <t xml:space="preserve">而家出街唔洗體陸馬</t>
  </si>
  <si>
    <t xml:space="preserve">clips/85cf45808a456ad1.flac</t>
  </si>
  <si>
    <t xml:space="preserve">可唔可以幫我解決下問題啊</t>
  </si>
  <si>
    <t xml:space="preserve">我唔可以夢和解決下問題呀</t>
  </si>
  <si>
    <t xml:space="preserve">我唔可以夢過界嘅堪文題呀</t>
  </si>
  <si>
    <t xml:space="preserve">可唔可以幫和街嘅嚇文題呀</t>
  </si>
  <si>
    <t xml:space="preserve">clips/dc0e458318e0fc3d.flac</t>
  </si>
  <si>
    <t xml:space="preserve">呢個拼音掛畫仲差美工</t>
  </si>
  <si>
    <t xml:space="preserve">呢個拼音怪話仲差美功</t>
  </si>
  <si>
    <t xml:space="preserve">呢個拼音掛畫仲差未公</t>
  </si>
  <si>
    <t xml:space="preserve">呢個平飲過話仲撐美工</t>
  </si>
  <si>
    <t xml:space="preserve">clips/50d5196fe4db6aca.flac</t>
  </si>
  <si>
    <t xml:space="preserve">我哋幾鬼威啊女</t>
  </si>
  <si>
    <t xml:space="preserve">我哋幾鬼威呀女</t>
  </si>
  <si>
    <t xml:space="preserve">我哋幾櫃威呀女</t>
  </si>
  <si>
    <t xml:space="preserve">我地己鬼威阿女</t>
  </si>
  <si>
    <t xml:space="preserve">clips/945dd426a17ba0cf.flac</t>
  </si>
  <si>
    <t xml:space="preserve">我估佢嘅意思係噉</t>
  </si>
  <si>
    <t xml:space="preserve">我估佢嘅意思係咁</t>
  </si>
  <si>
    <t xml:space="preserve">clips/b28b5db477523d0d.flac</t>
  </si>
  <si>
    <t xml:space="preserve">唔係，起碼七八十年代之前冇</t>
  </si>
  <si>
    <t xml:space="preserve">唔係，起碼七八十年代之前好</t>
  </si>
  <si>
    <t xml:space="preserve">唔係起馬七八十年代支前母</t>
  </si>
  <si>
    <t xml:space="preserve">clips/6c04d2d04f8bad8c.flac</t>
  </si>
  <si>
    <t xml:space="preserve">好多人都叫潮州</t>
  </si>
  <si>
    <t xml:space="preserve">我多人都叫朝州</t>
  </si>
  <si>
    <t xml:space="preserve">好多人都叫潮走</t>
  </si>
  <si>
    <t xml:space="preserve">clips/6d184896851f5023.flac</t>
  </si>
  <si>
    <t xml:space="preserve">你係點認識到佢，佢又有咩吸引你呢</t>
  </si>
  <si>
    <t xml:space="preserve">你係點認識到佢，佢又有咩吸引你呢？</t>
  </si>
  <si>
    <t xml:space="preserve">你係點認識到佢佢又又咩吸緊你呢</t>
  </si>
  <si>
    <t xml:space="preserve">clips/0ecb74e85a1137a7.flac</t>
  </si>
  <si>
    <t xml:space="preserve">你知唔知道</t>
  </si>
  <si>
    <t xml:space="preserve">你知唔知道？</t>
  </si>
  <si>
    <t xml:space="preserve">clips/16c8e6edc0cc90e6.flac</t>
  </si>
  <si>
    <t xml:space="preserve">畀啲顏色佢哋睇下</t>
  </si>
  <si>
    <t xml:space="preserve">比啲顏色佢哋睇下</t>
  </si>
  <si>
    <t xml:space="preserve">比啲眼識佢地睇下</t>
  </si>
  <si>
    <t xml:space="preserve">clips/587789df95843675.flac</t>
  </si>
  <si>
    <t xml:space="preserve">至於真假唔知</t>
  </si>
  <si>
    <t xml:space="preserve">至於增價唔知</t>
  </si>
  <si>
    <t xml:space="preserve">clips/b84ca0be311f56cf.flac</t>
  </si>
  <si>
    <t xml:space="preserve">只有死魚眼同機械聲快快讀完快快去玩</t>
  </si>
  <si>
    <t xml:space="preserve">只有死魚眼同機械聲快快讀完快快去揾</t>
  </si>
  <si>
    <t xml:space="preserve">只有死亡語言同機械聲快快讀完快快去玩</t>
  </si>
  <si>
    <t xml:space="preserve">只有死院眼同機械聲快快讀粵快快去玩</t>
  </si>
  <si>
    <t xml:space="preserve">clips/4fdef6a72a98716a.flac</t>
  </si>
  <si>
    <t xml:space="preserve">可以攞條筷子㓤下佢</t>
  </si>
  <si>
    <r>
      <rPr>
        <sz val="11"/>
        <rFont val="Noto Sans CJK SC"/>
        <family val="2"/>
      </rPr>
      <t xml:space="preserve">可以攞條筷子</t>
    </r>
    <r>
      <rPr>
        <sz val="11"/>
        <rFont val="Arial"/>
        <family val="0"/>
        <charset val="1"/>
      </rPr>
      <t xml:space="preserve">?</t>
    </r>
    <r>
      <rPr>
        <sz val="11"/>
        <rFont val="Noto Sans CJK SC"/>
        <family val="2"/>
      </rPr>
      <t xml:space="preserve">下佢</t>
    </r>
  </si>
  <si>
    <t xml:space="preserve">可以攞條塊子吉他</t>
  </si>
  <si>
    <t xml:space="preserve">可以攞條快子得下佢</t>
  </si>
  <si>
    <t xml:space="preserve">clips/b055330f253cbdb8.flac</t>
  </si>
  <si>
    <t xml:space="preserve">呢種口音絕對冇可能係而家嘅廣府片</t>
  </si>
  <si>
    <t xml:space="preserve">呢種厚音絕對冇可能係儀家嘅廣府片</t>
  </si>
  <si>
    <t xml:space="preserve">呢種後音絕對無可能係而家嘅廣虎險</t>
  </si>
  <si>
    <t xml:space="preserve">clips/ae3404aa6abac934.flac</t>
  </si>
  <si>
    <t xml:space="preserve">阿姐話首先要夾夾生肖</t>
  </si>
  <si>
    <t xml:space="preserve">阿姐話首先要急急身潮</t>
  </si>
  <si>
    <t xml:space="preserve">阿姐話首先要及及生潮</t>
  </si>
  <si>
    <t xml:space="preserve">阿姐話首先要及夾新超</t>
  </si>
  <si>
    <t xml:space="preserve">clips/54c9d1cf719e6418.flac</t>
  </si>
  <si>
    <t xml:space="preserve">新屎坑三日香</t>
  </si>
  <si>
    <t xml:space="preserve">新市客，三日香</t>
  </si>
  <si>
    <t xml:space="preserve">新試下三日香</t>
  </si>
  <si>
    <t xml:space="preserve">新試蝦三日香</t>
  </si>
  <si>
    <t xml:space="preserve">clips/261157b27baf43b1.flac</t>
  </si>
  <si>
    <t xml:space="preserve">之後，錄錄吓見夜咗</t>
  </si>
  <si>
    <t xml:space="preserve">之後六六下見夜咗</t>
  </si>
  <si>
    <t xml:space="preserve">之後六六下見野左</t>
  </si>
  <si>
    <t xml:space="preserve">之後綠六下建野咗</t>
  </si>
  <si>
    <t xml:space="preserve">clips/301589a9c070e36c.flac</t>
  </si>
  <si>
    <t xml:space="preserve">佢成日開直播想人注意佢</t>
  </si>
  <si>
    <t xml:space="preserve">佢成人開直播，想人注意佢</t>
  </si>
  <si>
    <t xml:space="preserve">佢成人開直播想人注意佢</t>
  </si>
  <si>
    <t xml:space="preserve">佢成人開席播想人住意佢</t>
  </si>
  <si>
    <t xml:space="preserve">clips/1ac6358aea0f43a0.flac</t>
  </si>
  <si>
    <t xml:space="preserve">德國佬都埋米國佬堆啦</t>
  </si>
  <si>
    <t xml:space="preserve">德國老都埋埋以國老堆啦</t>
  </si>
  <si>
    <t xml:space="preserve">得角佬都埋米國老堆啦</t>
  </si>
  <si>
    <t xml:space="preserve">clips/387cc64e7389cec2.flac</t>
  </si>
  <si>
    <t xml:space="preserve">你唔鍾意我啲肌肉咩？</t>
  </si>
  <si>
    <t xml:space="preserve">你唔鍾意我啲肌肉咩</t>
  </si>
  <si>
    <t xml:space="preserve">你唔鍾意我啲機肉咩</t>
  </si>
  <si>
    <t xml:space="preserve">clips/a0571c3dcb8c5969.flac</t>
  </si>
  <si>
    <t xml:space="preserve">老闆更加唔會炒人</t>
  </si>
  <si>
    <t xml:space="preserve">老闆更加唔會炒藥</t>
  </si>
  <si>
    <t xml:space="preserve">clips/c27d9f9e25e4ba84.flac</t>
  </si>
  <si>
    <t xml:space="preserve">要有米先得</t>
  </si>
  <si>
    <t xml:space="preserve">要有咪先得</t>
  </si>
  <si>
    <t xml:space="preserve">clips/c7315c58035c3833.flac</t>
  </si>
  <si>
    <t xml:space="preserve">謝手謝腳，形容做嘢冇氣冇力，唔出力</t>
  </si>
  <si>
    <t xml:space="preserve">這手這腳，形容做嘢武器武力，唔出力</t>
  </si>
  <si>
    <t xml:space="preserve">這首這腳仍用做嘢武器武力唔出力</t>
  </si>
  <si>
    <t xml:space="preserve">這手這腳仍容做嘢冇氣冇力唔出力</t>
  </si>
  <si>
    <t xml:space="preserve">clips/fa6c8bb775ac18dd.flac</t>
  </si>
  <si>
    <t xml:space="preserve">可以考慮先改編寓言故事，童話故事，神話故事</t>
  </si>
  <si>
    <t xml:space="preserve">可以考慮先改天語言故事？童話故事，神話故事</t>
  </si>
  <si>
    <t xml:space="preserve">可以考慮先改天語言故事，同話故事，神話故事</t>
  </si>
  <si>
    <t xml:space="preserve">可以考裡先改天預研故事同話故事神話故事</t>
  </si>
  <si>
    <t xml:space="preserve">clips/0caa69bcc9684cc1.flac</t>
  </si>
  <si>
    <t xml:space="preserve">老一輩用嘅漢王手寫板仲有市場？</t>
  </si>
  <si>
    <t xml:space="preserve">老一輩用嘅漢皇手寫版仲有市場</t>
  </si>
  <si>
    <t xml:space="preserve">老一輩用嘅漢王手寫版仲有市場</t>
  </si>
  <si>
    <t xml:space="preserve">老一背用嘅漢黃手些板仲有屎場</t>
  </si>
  <si>
    <t xml:space="preserve">clips/9a59f688a23b1468.flac</t>
  </si>
  <si>
    <t xml:space="preserve">佢唔係做大陸市場係對我嘛</t>
  </si>
  <si>
    <t xml:space="preserve">佢唔係咗大陸市場係對我嘛</t>
  </si>
  <si>
    <t xml:space="preserve">去唔係咗帶屋市場喺對我嗎</t>
  </si>
  <si>
    <t xml:space="preserve">clips/038d56b8548c4497.flac</t>
  </si>
  <si>
    <t xml:space="preserve">睇佢哋個樣都知互相冧大家啦，睇到冇？</t>
  </si>
  <si>
    <t xml:space="preserve">睇佢哋個樣都知互相冧大家喇，睇到冇？</t>
  </si>
  <si>
    <t xml:space="preserve">睇佢哋嘅樣都知互相諗大家啦，睇到冇？</t>
  </si>
  <si>
    <t xml:space="preserve">睇佢地嘅樣都支互上諗大架啦睇到無</t>
  </si>
  <si>
    <t xml:space="preserve">clips/045caadc135bf780.flac</t>
  </si>
  <si>
    <t xml:space="preserve">可以一齊玩！</t>
  </si>
  <si>
    <t xml:space="preserve">可以一齊玩</t>
  </si>
  <si>
    <t xml:space="preserve">可以一題玩</t>
  </si>
  <si>
    <t xml:space="preserve">去你一齊玩</t>
  </si>
  <si>
    <t xml:space="preserve">clips/6542520935522062.flac</t>
  </si>
  <si>
    <t xml:space="preserve">漢蔵語系有冇聴過</t>
  </si>
  <si>
    <t xml:space="preserve">漢藏語係有冇聽過</t>
  </si>
  <si>
    <t xml:space="preserve">漢葬魚係有冇聽過</t>
  </si>
  <si>
    <t xml:space="preserve">看藏語係有無聽過</t>
  </si>
  <si>
    <t xml:space="preserve">clips/90f14b1a7fd56a7d.flac</t>
  </si>
  <si>
    <t xml:space="preserve">或者話好多人都忽略咗呢啲需要？</t>
  </si>
  <si>
    <t xml:space="preserve">或者話好多人都忽略咗呢啲需要</t>
  </si>
  <si>
    <t xml:space="preserve">或者話好多讀忽律咗呢啲需園</t>
  </si>
  <si>
    <t xml:space="preserve">clips/21af1887fd10d897.flac</t>
  </si>
  <si>
    <t xml:space="preserve">一個好似佢噉嘅人</t>
  </si>
  <si>
    <t xml:space="preserve">一個好似佢咁嘅人</t>
  </si>
  <si>
    <t xml:space="preserve">clips/15a327311a092251.flac</t>
  </si>
  <si>
    <t xml:space="preserve">除咗佢仲有邊個</t>
  </si>
  <si>
    <t xml:space="preserve">除咗佢仲有邊個？</t>
  </si>
  <si>
    <t xml:space="preserve">除咗佢左邊個</t>
  </si>
  <si>
    <t xml:space="preserve">隨左佢咗邊個</t>
  </si>
  <si>
    <t xml:space="preserve">clips/9baa77f3072f4e13.flac</t>
  </si>
  <si>
    <t xml:space="preserve">有冇人想揾嘢做，有筍工</t>
  </si>
  <si>
    <t xml:space="preserve">有冇人想揾嘢做，有份工</t>
  </si>
  <si>
    <t xml:space="preserve">有無人想揾野做有順功</t>
  </si>
  <si>
    <t xml:space="preserve">有無人想揾野做有順工</t>
  </si>
  <si>
    <t xml:space="preserve">clips/54b19dfffec625a6.flac</t>
  </si>
  <si>
    <t xml:space="preserve">請睇群公告</t>
  </si>
  <si>
    <t xml:space="preserve">請睇羣公告</t>
  </si>
  <si>
    <t xml:space="preserve">請體羣公告</t>
  </si>
  <si>
    <t xml:space="preserve">clips/4e4dc6de0d79c932.flac</t>
  </si>
  <si>
    <t xml:space="preserve">好乖，最緊要早早磅水</t>
  </si>
  <si>
    <t xml:space="preserve">好乖，最緊要早早放水</t>
  </si>
  <si>
    <t xml:space="preserve">好乖最緊要早早幫水</t>
  </si>
  <si>
    <t xml:space="preserve">clips/76a94446380f69be.flac</t>
  </si>
  <si>
    <t xml:space="preserve">冇，人哋嘅截圖。咩群嚟㗎</t>
  </si>
  <si>
    <t xml:space="preserve">冇，人哋嘅截圖咩羣嚟㗎</t>
  </si>
  <si>
    <t xml:space="preserve">冇人哋嘅截圖，咩窮嚟㗎</t>
  </si>
  <si>
    <t xml:space="preserve">摸人地嘅折圖咩同嚟㗎</t>
  </si>
  <si>
    <t xml:space="preserve">clips/683ce89e48c010f6.flac</t>
  </si>
  <si>
    <t xml:space="preserve">請問有人認識呢啲字？</t>
  </si>
  <si>
    <t xml:space="preserve">請問有人認識呢啲字</t>
  </si>
  <si>
    <t xml:space="preserve">請問有人認識呢啲指</t>
  </si>
  <si>
    <t xml:space="preserve">clips/19c6a10bd52df4a6.flac</t>
  </si>
  <si>
    <t xml:space="preserve">夜晚唔俾出街係咪因為同病毒傾好咗天黑先出嚟</t>
  </si>
  <si>
    <t xml:space="preserve">夜晚唔畀出街，係咪因為同病毒傾好咗天下先出嚟？</t>
  </si>
  <si>
    <t xml:space="preserve">爺媽唔畀出街係咪因為同病毒傾號咗天黑先出嚟</t>
  </si>
  <si>
    <t xml:space="preserve">姨媽唔畀出街係咪因為同病育傾澳咗天嚇先出禮</t>
  </si>
  <si>
    <t xml:space="preserve">clips/35498ddaac6fcdbb.flac</t>
  </si>
  <si>
    <t xml:space="preserve">第一個嚟到就車得走嘅點同大將軍交代</t>
  </si>
  <si>
    <t xml:space="preserve">第一個嚟到就請得走嘅點同大象玩交代</t>
  </si>
  <si>
    <t xml:space="preserve">第一個來到就赤鑄州嘅點農大將近交代</t>
  </si>
  <si>
    <t xml:space="preserve">第一個你都就車得臭嘅點用大最揾攪台</t>
  </si>
  <si>
    <t xml:space="preserve">clips/fa0e21dc98dfde32.flac</t>
  </si>
  <si>
    <t xml:space="preserve">嗰個人係漢奸</t>
  </si>
  <si>
    <t xml:space="preserve">嗰個人係韓國人</t>
  </si>
  <si>
    <t xml:space="preserve">嗰個人係寒間</t>
  </si>
  <si>
    <t xml:space="preserve">clips/574075d7d3784202.flac</t>
  </si>
  <si>
    <t xml:space="preserve">我勁嬲我家姐點解要噉做</t>
  </si>
  <si>
    <t xml:space="preserve">我勁嬲，我家姐點解要噉做</t>
  </si>
  <si>
    <t xml:space="preserve">我勁鬧，我家姐點解要噉做</t>
  </si>
  <si>
    <t xml:space="preserve">我景嬲和家姐點乜要咁做</t>
  </si>
  <si>
    <t xml:space="preserve">clips/263303f1fe5e2d69.flac</t>
  </si>
  <si>
    <t xml:space="preserve">你咪幫佢地影張囉</t>
  </si>
  <si>
    <t xml:space="preserve">你咪幫佢哋影張相囉</t>
  </si>
  <si>
    <t xml:space="preserve">你咪幫佢哋影張上啦</t>
  </si>
  <si>
    <t xml:space="preserve">你咪幫佢哋影咗上囉</t>
  </si>
  <si>
    <t xml:space="preserve">clips/5f9a5563160690df.flac</t>
  </si>
  <si>
    <t xml:space="preserve">點解請閣下食飯？</t>
  </si>
  <si>
    <t xml:space="preserve">點解請個下食飯</t>
  </si>
  <si>
    <t xml:space="preserve">點解請個校食飯</t>
  </si>
  <si>
    <t xml:space="preserve">clips/427db9e0cd213a8a.flac</t>
  </si>
  <si>
    <t xml:space="preserve">成日乜都信晒朋友講嘅嘢</t>
  </si>
  <si>
    <t xml:space="preserve">成日乜都信曬朋友講嘅嘢</t>
  </si>
  <si>
    <t xml:space="preserve">成人乜都信曬朋友講嘅嘢</t>
  </si>
  <si>
    <t xml:space="preserve">成有乜都信曬朋友講嘅嘢</t>
  </si>
  <si>
    <t xml:space="preserve">clips/b5381a4032b6ccd1.flac</t>
  </si>
  <si>
    <t xml:space="preserve">過咗全盛時期</t>
  </si>
  <si>
    <t xml:space="preserve">過咗全正時期</t>
  </si>
  <si>
    <t xml:space="preserve">過左全正時期</t>
  </si>
  <si>
    <t xml:space="preserve">clips/513d32574a2fd2b4.flac</t>
  </si>
  <si>
    <t xml:space="preserve">日光日白斬人斬真係大新聞嘅</t>
  </si>
  <si>
    <t xml:space="preserve">日光日白閃人站真係大新聞嘅</t>
  </si>
  <si>
    <t xml:space="preserve">若光入白嬸仍然嬸真係大新聞嘅</t>
  </si>
  <si>
    <t xml:space="preserve">若光入八斬人斬真係大失文嘅</t>
  </si>
  <si>
    <t xml:space="preserve">clips/0b0096b125c17800.flac</t>
  </si>
  <si>
    <t xml:space="preserve">之前蘋果版本都係有廣東話閱讀嘅</t>
  </si>
  <si>
    <t xml:space="preserve">之前蘋果版本都係有廣東話閲讀嘅</t>
  </si>
  <si>
    <t xml:space="preserve">支前蘋果板本都係有廣東話原毒嘅</t>
  </si>
  <si>
    <t xml:space="preserve">clips/3b79e080ce000ee7.flac</t>
  </si>
  <si>
    <t xml:space="preserve">噉都有得詏？</t>
  </si>
  <si>
    <t xml:space="preserve">咁多有得咬？</t>
  </si>
  <si>
    <t xml:space="preserve">噉都有得嘔</t>
  </si>
  <si>
    <t xml:space="preserve">咁都有得拗</t>
  </si>
  <si>
    <t xml:space="preserve">clips/b790125da2ee3294.flac</t>
  </si>
  <si>
    <t xml:space="preserve">你火車未到站</t>
  </si>
  <si>
    <t xml:space="preserve">你火車味道讚</t>
  </si>
  <si>
    <t xml:space="preserve">你火車尾道站</t>
  </si>
  <si>
    <t xml:space="preserve">你火車味到咋</t>
  </si>
  <si>
    <t xml:space="preserve">clips/31d9e9f8b5251712.flac</t>
  </si>
  <si>
    <t xml:space="preserve">我係講畀你聽嘅？</t>
  </si>
  <si>
    <t xml:space="preserve">我係講畀你聽嘅</t>
  </si>
  <si>
    <t xml:space="preserve">話講俾你聽野</t>
  </si>
  <si>
    <t xml:space="preserve">clips/75650963d4441040.flac</t>
  </si>
  <si>
    <t xml:space="preserve">着慣運動褲唔使拉褲鏈</t>
  </si>
  <si>
    <t xml:space="preserve">著慣運動褲唔使拉褲鏈</t>
  </si>
  <si>
    <t xml:space="preserve">著刮運動附唔睇拉扶鏈</t>
  </si>
  <si>
    <t xml:space="preserve">著彎運動褲唔睇拉褲年</t>
  </si>
  <si>
    <t xml:space="preserve">clips/00f90aa142ef8e79.flac</t>
  </si>
  <si>
    <t xml:space="preserve">鄭先生，請睇下唔啱嘅寫法有邊啲</t>
  </si>
  <si>
    <t xml:space="preserve">鄭先生請睇下唔啱嘅寫法有邊啲</t>
  </si>
  <si>
    <t xml:space="preserve">訂先生請睇下啱嘅寫法有邊啲</t>
  </si>
  <si>
    <t xml:space="preserve">clips/4f8f6aa5fa75e835.flac</t>
  </si>
  <si>
    <t xml:space="preserve">我上面提到嗰個？</t>
  </si>
  <si>
    <t xml:space="preserve">我上面氣到個個</t>
  </si>
  <si>
    <t xml:space="preserve">我上面企到嗰個</t>
  </si>
  <si>
    <t xml:space="preserve">我想面氣到過歌</t>
  </si>
  <si>
    <t xml:space="preserve">clips/f1ce9054166bf780.flac</t>
  </si>
  <si>
    <t xml:space="preserve">反正我講落雨就會落雨</t>
  </si>
  <si>
    <t xml:space="preserve">反正我講鑼魚就會鑼魚</t>
  </si>
  <si>
    <t xml:space="preserve">反正我講落煮就會落住</t>
  </si>
  <si>
    <t xml:space="preserve">clips/6fac77a5be298266.flac</t>
  </si>
  <si>
    <t xml:space="preserve">應該好多地方都講</t>
  </si>
  <si>
    <t xml:space="preserve">clips/ffb9bff469858088.flac</t>
  </si>
  <si>
    <t xml:space="preserve">我哋唔夠專業，還得麻煩閣下多多指導</t>
  </si>
  <si>
    <t xml:space="preserve">我哋唔就專業，橫咁麻煩各下多多指導</t>
  </si>
  <si>
    <t xml:space="preserve">我啲唔夠專業揾金麻煩個下多多指句</t>
  </si>
  <si>
    <t xml:space="preserve">clips/4bb0ad90bb21042a.flac</t>
  </si>
  <si>
    <t xml:space="preserve">感覺依個混打同我諗個混打有少少出入</t>
  </si>
  <si>
    <t xml:space="preserve">感覺呢個運打同我諗個運打有少少出入</t>
  </si>
  <si>
    <t xml:space="preserve">咁覺呢個運打同我諗個運打有少少出入</t>
  </si>
  <si>
    <t xml:space="preserve">clips/28efedba121e5f1d.flac</t>
  </si>
  <si>
    <t xml:space="preserve">姓氏係可以好離譜嘅都有</t>
  </si>
  <si>
    <t xml:space="preserve">姓史係可以好離譜嘅都有</t>
  </si>
  <si>
    <t xml:space="preserve">星士係可以好理婆嘅都有</t>
  </si>
  <si>
    <t xml:space="preserve">clips/2c1f38a3490924a6.flac</t>
  </si>
  <si>
    <t xml:space="preserve">嗯，要加油揾到自己嘅出路</t>
  </si>
  <si>
    <t xml:space="preserve">要家有揾到自己嘅出路</t>
  </si>
  <si>
    <t xml:space="preserve">clips/a9cd2d6a03a9a2a3.flac</t>
  </si>
  <si>
    <t xml:space="preserve">直接向工作組提意見啦</t>
  </si>
  <si>
    <t xml:space="preserve">直接向工作早提意見啦</t>
  </si>
  <si>
    <t xml:space="preserve">直接香工作早提意嘅啦</t>
  </si>
  <si>
    <t xml:space="preserve">clips/5fb0b240424806a7.flac</t>
  </si>
  <si>
    <t xml:space="preserve">好肉麻囉真係</t>
  </si>
  <si>
    <t xml:space="preserve">好肉麻粒真係</t>
  </si>
  <si>
    <t xml:space="preserve">好肉麻律真係</t>
  </si>
  <si>
    <t xml:space="preserve">clips/16ea9882c3f6054f.flac</t>
  </si>
  <si>
    <t xml:space="preserve">睇咗新聞未？</t>
  </si>
  <si>
    <t xml:space="preserve">睇咗新聞未</t>
  </si>
  <si>
    <t xml:space="preserve">睇咗新飲味</t>
  </si>
  <si>
    <t xml:space="preserve">睇咗三諗未</t>
  </si>
  <si>
    <t xml:space="preserve">clips/1696bf41b8b20eb6.flac</t>
  </si>
  <si>
    <t xml:space="preserve">你哋平時鬧人嘅時候會講呢個詞冇？</t>
  </si>
  <si>
    <t xml:space="preserve">你哋平時鬧人嘅時候會講呢個詞母？</t>
  </si>
  <si>
    <t xml:space="preserve">呢啲平時鬧人嘅時候會講呢個詞舞</t>
  </si>
  <si>
    <t xml:space="preserve">呢哋平時鬧人嘅時候會講呢個持務</t>
  </si>
  <si>
    <t xml:space="preserve">clips/39887bba9bbf9624.flac</t>
  </si>
  <si>
    <t xml:space="preserve">唔係現行任何一個國家或地區嘅標準</t>
  </si>
  <si>
    <t xml:space="preserve">唔係現行任何一個國交或地區嘅標準</t>
  </si>
  <si>
    <t xml:space="preserve">clips/73587167629f0f28.flac</t>
  </si>
  <si>
    <t xml:space="preserve">你哋都好快手清好晒</t>
  </si>
  <si>
    <t xml:space="preserve">你哋都好快手清好曬</t>
  </si>
  <si>
    <t xml:space="preserve">你哋都好快手聽好曬</t>
  </si>
  <si>
    <t xml:space="preserve">clips/9e04aea518eebbb1.flac</t>
  </si>
  <si>
    <t xml:space="preserve">呢啲黑板上嘅唔係正確拼音咩</t>
  </si>
  <si>
    <t xml:space="preserve">呢啲黑板上嘅唔係正確拼音咩？</t>
  </si>
  <si>
    <t xml:space="preserve">呢啲黑板上嘅唔係正確並用咩</t>
  </si>
  <si>
    <t xml:space="preserve">呢啲幅板常嘅唔係正確評音咩</t>
  </si>
  <si>
    <t xml:space="preserve">clips/621d0895ae57fd2f.flac</t>
  </si>
  <si>
    <t xml:space="preserve">佢唔睇書乜滯</t>
  </si>
  <si>
    <t xml:space="preserve">佢唔睇書乜掣</t>
  </si>
  <si>
    <t xml:space="preserve">佢唔睇穿乜仔</t>
  </si>
  <si>
    <t xml:space="preserve">clips/61f54e30298031ea.flac</t>
  </si>
  <si>
    <t xml:space="preserve">首先睇完明白點解係三級片</t>
  </si>
  <si>
    <t xml:space="preserve">首先睇完明白點解三級別</t>
  </si>
  <si>
    <t xml:space="preserve">首先睇完明白點解三級影片</t>
  </si>
  <si>
    <t xml:space="preserve">首先睇明發點街三不便</t>
  </si>
  <si>
    <t xml:space="preserve">clips/43d1d495679415ca.flac</t>
  </si>
  <si>
    <t xml:space="preserve">廣州出嘅書大多係用廣州話拼音方案</t>
  </si>
  <si>
    <t xml:space="preserve">廣州出嘅書大多係用廣州華坪音方案</t>
  </si>
  <si>
    <t xml:space="preserve">clips/61c4e64b67f7ea43.flac</t>
  </si>
  <si>
    <t xml:space="preserve">揾人錄晒成篇文吖</t>
  </si>
  <si>
    <t xml:space="preserve">揾人錄曬成片問啦</t>
  </si>
  <si>
    <t xml:space="preserve">揾人錄曬成篇文啦</t>
  </si>
  <si>
    <t xml:space="preserve">揾人六曬成篇問啦</t>
  </si>
  <si>
    <t xml:space="preserve">clips/78390d35944067d3.flac</t>
  </si>
  <si>
    <t xml:space="preserve">我就係嗰個群群管理</t>
  </si>
  <si>
    <t xml:space="preserve">我就係個個羣管理</t>
  </si>
  <si>
    <t xml:space="preserve">我就係個個羣羣管理</t>
  </si>
  <si>
    <t xml:space="preserve">clips/2720070317f6c460.flac</t>
  </si>
  <si>
    <t xml:space="preserve">但係枝蠟燭熄咗</t>
  </si>
  <si>
    <t xml:space="preserve">但係支立足識咗</t>
  </si>
  <si>
    <t xml:space="preserve">但係支立足式咗</t>
  </si>
  <si>
    <t xml:space="preserve">但係知立竹熄咗</t>
  </si>
  <si>
    <t xml:space="preserve">clips/2253def8d47460ae.flac</t>
  </si>
  <si>
    <t xml:space="preserve">好似你噉嘅人，幾努力都好</t>
  </si>
  <si>
    <t xml:space="preserve">好似你噉嘅人幾努力到好</t>
  </si>
  <si>
    <t xml:space="preserve">好似你咁嘅人幾路力都好</t>
  </si>
  <si>
    <t xml:space="preserve">clips/168772118cc6c330.flac</t>
  </si>
  <si>
    <t xml:space="preserve">你係咪覺得我應該要理解你？</t>
  </si>
  <si>
    <t xml:space="preserve">你係咪覺得我應該要理解你</t>
  </si>
  <si>
    <t xml:space="preserve">你係咪覺得我應該要你咖你</t>
  </si>
  <si>
    <t xml:space="preserve">clips/b960f0449152519a.flac</t>
  </si>
  <si>
    <t xml:space="preserve">公事都未用電話聯絡</t>
  </si>
  <si>
    <t xml:space="preserve">公司都未用電話聯絡</t>
  </si>
  <si>
    <t xml:space="preserve">工事都未用電話聯落</t>
  </si>
  <si>
    <t xml:space="preserve">clips/2178049668d54dec.flac</t>
  </si>
  <si>
    <t xml:space="preserve">你睇下佢哋做嘅嘢，做到咁寒酸</t>
  </si>
  <si>
    <t xml:space="preserve">你睇下佢哋做嘅嘢，早都咁寒酸</t>
  </si>
  <si>
    <t xml:space="preserve">你睇呀佢你做嘅嘢做都咁寒孫</t>
  </si>
  <si>
    <t xml:space="preserve">clips/f96f287b6a48206d.flac</t>
  </si>
  <si>
    <t xml:space="preserve">我唔中意見到啲細窿窿黐埋一齊，即刻起晒雞皮</t>
  </si>
  <si>
    <t xml:space="preserve">我唔中意見到啲細窿窿黐埋一齊，即刻起曬雞皮</t>
  </si>
  <si>
    <r>
      <rPr>
        <sz val="11"/>
        <rFont val="Noto Sans CJK SC"/>
        <family val="2"/>
      </rPr>
      <t xml:space="preserve">我唔鍾意見到</t>
    </r>
    <r>
      <rPr>
        <sz val="11"/>
        <rFont val="Arial"/>
        <family val="0"/>
        <charset val="1"/>
      </rPr>
      <t xml:space="preserve">D</t>
    </r>
    <r>
      <rPr>
        <sz val="11"/>
        <rFont val="Noto Sans CJK SC"/>
        <family val="2"/>
      </rPr>
      <t xml:space="preserve">細窿窿黐埋一齊即刻起曬雞皮</t>
    </r>
  </si>
  <si>
    <t xml:space="preserve">我唔鍾意見到啲細窿窿黐埋一齊即卡起曬雞皮</t>
  </si>
  <si>
    <t xml:space="preserve">clips/21725c9150824ff1.flac</t>
  </si>
  <si>
    <t xml:space="preserve">聽見佢把死人聲就想嘔</t>
  </si>
  <si>
    <t xml:space="preserve">聽見佢把死人聲就想流</t>
  </si>
  <si>
    <t xml:space="preserve">聽見佢把士人聲就想到</t>
  </si>
  <si>
    <t xml:space="preserve">clips/26d0ca7f84be0ff4.flac</t>
  </si>
  <si>
    <t xml:space="preserve">送你嚟架車係邊個㗎？</t>
  </si>
  <si>
    <t xml:space="preserve">送你嚟架車係邊個㗎</t>
  </si>
  <si>
    <t xml:space="preserve">送你你家車係邊個㗎</t>
  </si>
  <si>
    <t xml:space="preserve">clips/ffbdb9d191c3b160.flac</t>
  </si>
  <si>
    <t xml:space="preserve">投訴嘅人都係粵語用戶</t>
  </si>
  <si>
    <t xml:space="preserve">投訴嘅人都係粵語用户</t>
  </si>
  <si>
    <t xml:space="preserve">投訴嘅人都係月語用護</t>
  </si>
  <si>
    <t xml:space="preserve">clips/9ff03b39d01674b0.flac</t>
  </si>
  <si>
    <t xml:space="preserve">聽朝搵過個新人</t>
  </si>
  <si>
    <t xml:space="preserve">聽朝揾個個新人</t>
  </si>
  <si>
    <t xml:space="preserve">聽子揾個個新入</t>
  </si>
  <si>
    <t xml:space="preserve">clips/3d36b77ce446532c.flac</t>
  </si>
  <si>
    <t xml:space="preserve">唔好意思囉</t>
  </si>
  <si>
    <t xml:space="preserve">唔好以事囉</t>
  </si>
  <si>
    <t xml:space="preserve">clips/5a971db23b93b4c4.flac</t>
  </si>
  <si>
    <t xml:space="preserve">週末應該伺服器有問題啩</t>
  </si>
  <si>
    <t xml:space="preserve">週末應該伺服佢有問題啩</t>
  </si>
  <si>
    <t xml:space="preserve">周活應該是服氣有問題吧</t>
  </si>
  <si>
    <t xml:space="preserve">就活應該士服佢有問題吧</t>
  </si>
  <si>
    <t xml:space="preserve">clips/b6d26da2fb449702.flac</t>
  </si>
  <si>
    <t xml:space="preserve">反正而家都唔打波</t>
  </si>
  <si>
    <t xml:space="preserve">clips/03d7dccdccdc83b4.flac</t>
  </si>
  <si>
    <t xml:space="preserve">喺其它群見到呢樣嘢</t>
  </si>
  <si>
    <t xml:space="preserve">喺其它羣見到呢樣嘢</t>
  </si>
  <si>
    <t xml:space="preserve">喺其他羣見到呢樣嘢</t>
  </si>
  <si>
    <t xml:space="preserve">喺其他羣嘅度呢樣嘢</t>
  </si>
  <si>
    <t xml:space="preserve">clips/96d607752b4d42a2.flac</t>
  </si>
  <si>
    <t xml:space="preserve">食完正餐再加啲湯飲</t>
  </si>
  <si>
    <t xml:space="preserve">食完正餐在家啲湯飲</t>
  </si>
  <si>
    <t xml:space="preserve">clips/b3b1dd9e4372c8d6.flac</t>
  </si>
  <si>
    <t xml:space="preserve">同途嘅人已經唔多</t>
  </si>
  <si>
    <t xml:space="preserve">同道佢人已經唔多</t>
  </si>
  <si>
    <t xml:space="preserve">同途佢人已經唔多</t>
  </si>
  <si>
    <t xml:space="preserve">clips/01314c7091382d7a.flac</t>
  </si>
  <si>
    <t xml:space="preserve">似乎仲係未出？</t>
  </si>
  <si>
    <t xml:space="preserve">似乎仲係未出</t>
  </si>
  <si>
    <t xml:space="preserve">clips/f7bf80737e25789f.flac</t>
  </si>
  <si>
    <t xml:space="preserve">留喺屋企，保持社交距離，噉先幫到前線醫護</t>
  </si>
  <si>
    <t xml:space="preserve">留喺屋企保持社交距離咁先幫到前線醫護</t>
  </si>
  <si>
    <t xml:space="preserve">留位屋企保持社交佢離感先幫到前線醫護</t>
  </si>
  <si>
    <t xml:space="preserve">clips/4853a34771da973f.flac</t>
  </si>
  <si>
    <t xml:space="preserve">感情嘅嘢人人唔同嘅</t>
  </si>
  <si>
    <t xml:space="preserve">感情嘅嘢人人不同嘅</t>
  </si>
  <si>
    <t xml:space="preserve">咁情嘅嘢人人同嘅</t>
  </si>
  <si>
    <t xml:space="preserve">clips/025f64889f181337.flac</t>
  </si>
  <si>
    <t xml:space="preserve">真係越南朋友？</t>
  </si>
  <si>
    <t xml:space="preserve">真係越南朋友</t>
  </si>
  <si>
    <t xml:space="preserve">真係預男朋友</t>
  </si>
  <si>
    <t xml:space="preserve">clips/fc15f56546f2aa30.flac</t>
  </si>
  <si>
    <t xml:space="preserve">老屋飛來啲外來雁 雞同鴨講眼碌碌</t>
  </si>
  <si>
    <t xml:space="preserve">老屋飛來的外來眼，雞同鴨講眼碌碌</t>
  </si>
  <si>
    <t xml:space="preserve">老屋飛來的外來眼，雞同鴨鱲眼睦睦</t>
  </si>
  <si>
    <t xml:space="preserve">老屋非來的外來眼雞同鴨講眼碌碌</t>
  </si>
  <si>
    <t xml:space="preserve">clips/4a1454ba8d7ac121.flac</t>
  </si>
  <si>
    <t xml:space="preserve">第三個係個靚仔古典音樂家</t>
  </si>
  <si>
    <t xml:space="preserve">第三個係靚仔古典音樂家</t>
  </si>
  <si>
    <t xml:space="preserve">第三個係靚仔古甸音鑊家</t>
  </si>
  <si>
    <t xml:space="preserve">clips/162f4062a654ee23.flac</t>
  </si>
  <si>
    <t xml:space="preserve">試下買唔買到我嘅日本人妻女女先</t>
  </si>
  <si>
    <t xml:space="preserve">試下賣唔賣到我既日本人差雷雷先</t>
  </si>
  <si>
    <t xml:space="preserve">試下買唔係到我嘅日本人淒女女先</t>
  </si>
  <si>
    <t xml:space="preserve">clips/8e89ffd22dba1b6f.flac</t>
  </si>
  <si>
    <t xml:space="preserve">我哋走嗰陣大風到傻</t>
  </si>
  <si>
    <t xml:space="preserve">我哋走嗰陣，大風到傻</t>
  </si>
  <si>
    <t xml:space="preserve">我哋走個陣，大風到傻</t>
  </si>
  <si>
    <t xml:space="preserve">我哋找嗰陣大風到所</t>
  </si>
  <si>
    <t xml:space="preserve">clips/2b6ce7a37561a938.flac</t>
  </si>
  <si>
    <t xml:space="preserve">就快有新嘢推介</t>
  </si>
  <si>
    <t xml:space="preserve">就快有生嘢推街</t>
  </si>
  <si>
    <t xml:space="preserve">clips/70fc4c6d4998bdbf.flac</t>
  </si>
  <si>
    <t xml:space="preserve">你老師嚟喎？名都唔記得？</t>
  </si>
  <si>
    <t xml:space="preserve">你老師嚟喎，明都唔記得</t>
  </si>
  <si>
    <t xml:space="preserve">李老師嚟喎明唔都唔記得</t>
  </si>
  <si>
    <t xml:space="preserve">你老知裏喎明都唔記得</t>
  </si>
  <si>
    <t xml:space="preserve">clips/0533f2ffd6a4d574.flac</t>
  </si>
  <si>
    <t xml:space="preserve">大家好，我要着靚啲，今日我哋出去食飯</t>
  </si>
  <si>
    <t xml:space="preserve">大家好，我要著靚啲，今日我地出去食飯</t>
  </si>
  <si>
    <t xml:space="preserve">大家好耐要著靚啲今日我哋出去食飯</t>
  </si>
  <si>
    <t xml:space="preserve">clips/0e5530bcd5c472e1.flac</t>
  </si>
  <si>
    <t xml:space="preserve">遊戲都可以用</t>
  </si>
  <si>
    <t xml:space="preserve">又氣都可以用</t>
  </si>
  <si>
    <t xml:space="preserve">clips/ffef4c80d1b72700.flac</t>
  </si>
  <si>
    <t xml:space="preserve">劇情韓劇唔係苦情就拜金</t>
  </si>
  <si>
    <t xml:space="preserve">劇情、看劇唔係苦情，就敗禁</t>
  </si>
  <si>
    <t xml:space="preserve">劇情漢劇唔係父情就拜金</t>
  </si>
  <si>
    <t xml:space="preserve">劇程限劇唔係府城就敗金</t>
  </si>
  <si>
    <t xml:space="preserve">clips/9e0987b1e9a43ffe.flac</t>
  </si>
  <si>
    <t xml:space="preserve">水滸係白話行文</t>
  </si>
  <si>
    <t xml:space="preserve">水湖係白話行文</t>
  </si>
  <si>
    <t xml:space="preserve">水壺係白畫行文</t>
  </si>
  <si>
    <t xml:space="preserve">clips/396a6b208a31b389.flac</t>
  </si>
  <si>
    <t xml:space="preserve">互為異體字</t>
  </si>
  <si>
    <t xml:space="preserve">互為體字</t>
  </si>
  <si>
    <t xml:space="preserve">護衞而體制</t>
  </si>
  <si>
    <t xml:space="preserve">互為睇子</t>
  </si>
  <si>
    <t xml:space="preserve">clips/021fd26d56df5f86.flac</t>
  </si>
  <si>
    <t xml:space="preserve">我唔唱，你可以要嗰份禮物</t>
  </si>
  <si>
    <t xml:space="preserve">我唔唱你可以要嗰份係咩</t>
  </si>
  <si>
    <t xml:space="preserve">我唔唱你可以要嗰份禮物</t>
  </si>
  <si>
    <t xml:space="preserve">clips/78e440a6d92ee222.flac</t>
  </si>
  <si>
    <t xml:space="preserve">希望你開開心心</t>
  </si>
  <si>
    <t xml:space="preserve">希望你開心唔開心</t>
  </si>
  <si>
    <t xml:space="preserve">希望你可以開心心</t>
  </si>
  <si>
    <t xml:space="preserve">希望你可開甚十</t>
  </si>
  <si>
    <t xml:space="preserve">clips/348796ab5696615d.flac</t>
  </si>
  <si>
    <t xml:space="preserve">嗷？做咩唔一齊屌佢？</t>
  </si>
  <si>
    <t xml:space="preserve">哦，做咩唔一齊屌佢？</t>
  </si>
  <si>
    <t xml:space="preserve">哦做咩唔一齊釣佢</t>
  </si>
  <si>
    <t xml:space="preserve">啫做咩唔一齊吊佢</t>
  </si>
  <si>
    <t xml:space="preserve">clips/f04d577e5a0ccc6a.flac</t>
  </si>
  <si>
    <t xml:space="preserve">都唔讀書嘅佢哋，邊度講到咩大道理出嚟</t>
  </si>
  <si>
    <t xml:space="preserve">都唔讀書嘅佢哋，邊度講唔到咩大道理出嚟</t>
  </si>
  <si>
    <t xml:space="preserve">都唔讀書嘅佢哋邊度講到咩大道理出嚟</t>
  </si>
  <si>
    <t xml:space="preserve">都唔讀鼠佢句哋邊度狂到咩但係到你出嚟</t>
  </si>
  <si>
    <t xml:space="preserve">clips/b6b152b153aa3b12.flac</t>
  </si>
  <si>
    <t xml:space="preserve">嗰時諗住同啲朋友有共同話題</t>
  </si>
  <si>
    <t xml:space="preserve">個時諗住同啲朋友有共同話題</t>
  </si>
  <si>
    <t xml:space="preserve">個時欖住同啲朋友友共動話題</t>
  </si>
  <si>
    <t xml:space="preserve">clips/15f616defcbb38bd.flac</t>
  </si>
  <si>
    <t xml:space="preserve">以上都係我嘅猜想，唔保證準確性</t>
  </si>
  <si>
    <t xml:space="preserve">以上都係我嘅猜測，唔保證準確性</t>
  </si>
  <si>
    <t xml:space="preserve">以上都係我嘅差上唔保證準確性</t>
  </si>
  <si>
    <t xml:space="preserve">clips/264a22959459de0a.flac</t>
  </si>
  <si>
    <t xml:space="preserve">我分返錢畀你</t>
  </si>
  <si>
    <t xml:space="preserve">我分番錢畀你</t>
  </si>
  <si>
    <t xml:space="preserve">我分返錢俾你</t>
  </si>
  <si>
    <t xml:space="preserve">clips/7f7bc34add730592.flac</t>
  </si>
  <si>
    <t xml:space="preserve">我揾唔到，搞唔識古音</t>
  </si>
  <si>
    <t xml:space="preserve">我揾唔到，攪唔識故音</t>
  </si>
  <si>
    <t xml:space="preserve">我揾唔到搞唔識古音</t>
  </si>
  <si>
    <t xml:space="preserve">clips/0b1704ee84b17ae1.flac</t>
  </si>
  <si>
    <t xml:space="preserve">大家都可以畀意見</t>
  </si>
  <si>
    <t xml:space="preserve">大家都可以俾以見</t>
  </si>
  <si>
    <t xml:space="preserve">clips/ee9e60a6548fc134.flac</t>
  </si>
  <si>
    <t xml:space="preserve">嗰個係邊個</t>
  </si>
  <si>
    <t xml:space="preserve">嗰個係邊個？</t>
  </si>
  <si>
    <t xml:space="preserve">clips/7fd6818c43591b2e.flac</t>
  </si>
  <si>
    <t xml:space="preserve">我作為電腦出身，諗起身都覺得幾核突</t>
  </si>
  <si>
    <t xml:space="preserve">我作為電腦出身，諗氣身都覺得幾遏特</t>
  </si>
  <si>
    <t xml:space="preserve">話就為電腦出身諗起身都覺得幾屈特</t>
  </si>
  <si>
    <t xml:space="preserve">clips/44c05b26d73a0c46.flac</t>
  </si>
  <si>
    <t xml:space="preserve">我總有一天會唔可以幫佢補充</t>
  </si>
  <si>
    <t xml:space="preserve">我再一天會唔可以幫佢補充</t>
  </si>
  <si>
    <t xml:space="preserve">我就係一天會唔可以幫佢補充</t>
  </si>
  <si>
    <t xml:space="preserve">我再喺一天會係磅佢補聰</t>
  </si>
  <si>
    <t xml:space="preserve">clips/d6daf926002a1235.flac</t>
  </si>
  <si>
    <t xml:space="preserve">如果你連一間學校都管唔到</t>
  </si>
  <si>
    <t xml:space="preserve">如果你連一間學校都過唔到</t>
  </si>
  <si>
    <t xml:space="preserve">clips/4533104d864fc5ca.flac</t>
  </si>
  <si>
    <t xml:space="preserve">唔知要唔要錢</t>
  </si>
  <si>
    <t xml:space="preserve">clips/c7604a20fe192d45.flac</t>
  </si>
  <si>
    <t xml:space="preserve">噉應該係</t>
  </si>
  <si>
    <t xml:space="preserve">咁應該係</t>
  </si>
  <si>
    <t xml:space="preserve">clips/b1cb05ef4d8f7210.flac</t>
  </si>
  <si>
    <t xml:space="preserve">切肉唔離皮，講得物理好難唔講數學</t>
  </si>
  <si>
    <t xml:space="preserve">切肉唔離皮，講得物理，好難唔講數學</t>
  </si>
  <si>
    <t xml:space="preserve">似乎育唔利皮講得物理好難唔講數學</t>
  </si>
  <si>
    <t xml:space="preserve">設肉唔你皮講得物裏好腩唔講數學</t>
  </si>
  <si>
    <t xml:space="preserve">clips/5a003a2701079717.flac</t>
  </si>
  <si>
    <t xml:space="preserve">而家啲人粵語水準下降，就係啲人完全唔寫粵文導致嘅</t>
  </si>
  <si>
    <t xml:space="preserve">而家啲人粵語水準下降就係啲人完全唔捨越文導致嘅</t>
  </si>
  <si>
    <t xml:space="preserve">而家啲人粵語水準下講就係啲人完全唔寫越民到字嘅</t>
  </si>
  <si>
    <t xml:space="preserve">clips/29c34f63884d638a.flac</t>
  </si>
  <si>
    <t xml:space="preserve">你哋攞咩嘢軟件查正字？</t>
  </si>
  <si>
    <t xml:space="preserve">你哋我咩願檢查政治</t>
  </si>
  <si>
    <t xml:space="preserve">你地鑼咩軟件查證字</t>
  </si>
  <si>
    <t xml:space="preserve">你地我咩院件茶症治</t>
  </si>
  <si>
    <t xml:space="preserve">clips/224abe1ed46c45ee.flac</t>
  </si>
  <si>
    <t xml:space="preserve">傳統文化有食貓食狗</t>
  </si>
  <si>
    <t xml:space="preserve">傳統文化又食貓食狗</t>
  </si>
  <si>
    <t xml:space="preserve">全統問化又食貓食到</t>
  </si>
  <si>
    <t xml:space="preserve">clips/1f36f97da3f805f0.flac</t>
  </si>
  <si>
    <t xml:space="preserve">呢兩個字我想知好耐喇</t>
  </si>
  <si>
    <t xml:space="preserve">呢個字我想知好耐喇</t>
  </si>
  <si>
    <t xml:space="preserve">啲女個字我想知好耐呀</t>
  </si>
  <si>
    <t xml:space="preserve">clips/6a32e7fcd76d2ded.flac</t>
  </si>
  <si>
    <t xml:space="preserve">呢兩日終於開始秋涼嘞</t>
  </si>
  <si>
    <t xml:space="preserve">呢兩日終於開始抽涼喇</t>
  </si>
  <si>
    <t xml:space="preserve">呢兩日終於開始抽靚喇</t>
  </si>
  <si>
    <t xml:space="preserve">呢兩日終意開始秋零呢</t>
  </si>
  <si>
    <t xml:space="preserve">clips/f31389773119f458.flac</t>
  </si>
  <si>
    <t xml:space="preserve">好大機會，第啲人聽唔明</t>
  </si>
  <si>
    <t xml:space="preserve">好大機會，第二啲人，聽唔明</t>
  </si>
  <si>
    <r>
      <rPr>
        <sz val="11"/>
        <rFont val="Noto Sans CJK SC"/>
        <family val="2"/>
      </rPr>
      <t xml:space="preserve">好大機會，第</t>
    </r>
    <r>
      <rPr>
        <sz val="11"/>
        <rFont val="Arial"/>
        <family val="0"/>
        <charset val="1"/>
      </rPr>
      <t xml:space="preserve">D</t>
    </r>
    <r>
      <rPr>
        <sz val="11"/>
        <rFont val="Noto Sans CJK SC"/>
        <family val="2"/>
      </rPr>
      <t xml:space="preserve">人聽唔明</t>
    </r>
  </si>
  <si>
    <t xml:space="preserve">好大機會大依又睇唔明</t>
  </si>
  <si>
    <t xml:space="preserve">clips/7523d6ae742e13bb.flac</t>
  </si>
  <si>
    <t xml:space="preserve">原來係同行</t>
  </si>
  <si>
    <t xml:space="preserve">原來係同學</t>
  </si>
  <si>
    <t xml:space="preserve">原來係通學</t>
  </si>
  <si>
    <t xml:space="preserve">然來係同學</t>
  </si>
  <si>
    <t xml:space="preserve">clips/a8893ec7efcc68f8.flac</t>
  </si>
  <si>
    <t xml:space="preserve">問下啲專業人士囉</t>
  </si>
  <si>
    <t xml:space="preserve">問下啲專業人是囉</t>
  </si>
  <si>
    <t xml:space="preserve">clips/a360707de4ec540e.flac</t>
  </si>
  <si>
    <t xml:space="preserve">你唔可以原諒佢咩？</t>
  </si>
  <si>
    <t xml:space="preserve">你唔可以原諒佢咩</t>
  </si>
  <si>
    <t xml:space="preserve">你唔可以完良佢咩</t>
  </si>
  <si>
    <t xml:space="preserve">clips/26afc67398fbbf9e.flac</t>
  </si>
  <si>
    <t xml:space="preserve">你好得意喎</t>
  </si>
  <si>
    <t xml:space="preserve">clips/0b92010600f91301.flac</t>
  </si>
  <si>
    <t xml:space="preserve">但係其實北文都一樣</t>
  </si>
  <si>
    <t xml:space="preserve">但係其實不滿，都一樣</t>
  </si>
  <si>
    <t xml:space="preserve">但係其實不論都一樣</t>
  </si>
  <si>
    <t xml:space="preserve">但係其實不門多一㗎</t>
  </si>
  <si>
    <t xml:space="preserve">clips/5fc91f47276da275.flac</t>
  </si>
  <si>
    <t xml:space="preserve">成日幻聽一日到黑話我冇文化</t>
  </si>
  <si>
    <t xml:space="preserve">成日幻聽一日到黑話我網文化</t>
  </si>
  <si>
    <t xml:space="preserve">clips/42a1bf183443f81b.flac</t>
  </si>
  <si>
    <t xml:space="preserve">我呢邊真係完全冇辦法下載到</t>
  </si>
  <si>
    <t xml:space="preserve">我呢邊真係完全冇辦發嚇再到</t>
  </si>
  <si>
    <t xml:space="preserve">clips/8076dee15ab9d25b.flac</t>
  </si>
  <si>
    <t xml:space="preserve">仲有早茶歎</t>
  </si>
  <si>
    <t xml:space="preserve">仲有早茶餐</t>
  </si>
  <si>
    <t xml:space="preserve">仲樣早茶灘</t>
  </si>
  <si>
    <t xml:space="preserve">clips/6dbf5e2c7a8bd193.flac</t>
  </si>
  <si>
    <t xml:space="preserve">同組同事中咗幾個佢都冇中</t>
  </si>
  <si>
    <t xml:space="preserve">同咗同事種咗幾個佢都冇種</t>
  </si>
  <si>
    <t xml:space="preserve">同早同事中咗幾個佢都冇中</t>
  </si>
  <si>
    <t xml:space="preserve">clips/71ca8d52bb2d4630.flac</t>
  </si>
  <si>
    <t xml:space="preserve">全場靜晒</t>
  </si>
  <si>
    <t xml:space="preserve">全場靜曬</t>
  </si>
  <si>
    <t xml:space="preserve">全場精曬</t>
  </si>
  <si>
    <t xml:space="preserve">全場正街</t>
  </si>
  <si>
    <t xml:space="preserve">clips/ebc5e37dd706eaff.flac</t>
  </si>
  <si>
    <t xml:space="preserve">針對細佬哥</t>
  </si>
  <si>
    <t xml:space="preserve">真對細流哥</t>
  </si>
  <si>
    <t xml:space="preserve">clips/c1e055a59cba8eef.flac</t>
  </si>
  <si>
    <t xml:space="preserve">閣下噉認為啫，我認為唔係</t>
  </si>
  <si>
    <t xml:space="preserve">個下感認為遮，我認為唔係</t>
  </si>
  <si>
    <t xml:space="preserve">覺下咁應為遮我應為唔係</t>
  </si>
  <si>
    <t xml:space="preserve">clips/a51b1256bfbd17e7.flac</t>
  </si>
  <si>
    <t xml:space="preserve">當年經典，家陣聽返都仲咁正</t>
  </si>
  <si>
    <t xml:space="preserve">當年經了加陣聽返都仲咁正</t>
  </si>
  <si>
    <t xml:space="preserve">clips/1eb81cb363f2a49c.flac</t>
  </si>
  <si>
    <t xml:space="preserve">乜近排有好多嘢發生咩</t>
  </si>
  <si>
    <t xml:space="preserve">乜近排有好得意嘅發生咩</t>
  </si>
  <si>
    <t xml:space="preserve">乜近太有好多嘢發生咩</t>
  </si>
  <si>
    <t xml:space="preserve">乜近排好得嘢發生咩</t>
  </si>
  <si>
    <t xml:space="preserve">clips/cc8e518a56de094e.flac</t>
  </si>
  <si>
    <t xml:space="preserve">我聽住差唔多</t>
  </si>
  <si>
    <t xml:space="preserve">我聽住撐唔多</t>
  </si>
  <si>
    <t xml:space="preserve">clips/1041ba1931c8e0a9.flac</t>
  </si>
  <si>
    <t xml:space="preserve">咁驕傲唔留喺祖國？</t>
  </si>
  <si>
    <t xml:space="preserve">咁驕傲，唔留喺祖國</t>
  </si>
  <si>
    <t xml:space="preserve">咁驕傲唔留喺祖國</t>
  </si>
  <si>
    <t xml:space="preserve">咁叫傲唔留係祖覺</t>
  </si>
  <si>
    <t xml:space="preserve">clips/a8b0a2f441ccf2f0.flac</t>
  </si>
  <si>
    <t xml:space="preserve">如果全世界都有白化病</t>
  </si>
  <si>
    <t xml:space="preserve">唔果全世界都有白花病</t>
  </si>
  <si>
    <t xml:space="preserve">clips/e7dc94eae9de49e3.flac</t>
  </si>
  <si>
    <t xml:space="preserve">就會比較低調</t>
  </si>
  <si>
    <t xml:space="preserve">clips/874a3af20e5d19b9.flac</t>
  </si>
  <si>
    <t xml:space="preserve">呢度唔需要呢啲不和諧發言</t>
  </si>
  <si>
    <t xml:space="preserve">呢度唔需要呢啲不和鞋發現</t>
  </si>
  <si>
    <t xml:space="preserve">呢度唔需要呢啲北和鞋發現</t>
  </si>
  <si>
    <t xml:space="preserve">呢度唔需要呢絲北和鞋發現</t>
  </si>
  <si>
    <t xml:space="preserve">clips/4bd62f0d3c0dcf81.flac</t>
  </si>
  <si>
    <t xml:space="preserve">我十幾年前就研究過</t>
  </si>
  <si>
    <t xml:space="preserve">clips/89fe6616b1a7b8f0.flac</t>
  </si>
  <si>
    <t xml:space="preserve">唔好死喺我間屋呀</t>
  </si>
  <si>
    <t xml:space="preserve">唔好寫喺我間屋啊</t>
  </si>
  <si>
    <t xml:space="preserve">唔好寫喺我間屋呀</t>
  </si>
  <si>
    <t xml:space="preserve">唔好死我間屋呀</t>
  </si>
  <si>
    <t xml:space="preserve">clips/77f835998d8ed81f.flac</t>
  </si>
  <si>
    <t xml:space="preserve">係吖，諗住安裝試試</t>
  </si>
  <si>
    <t xml:space="preserve">係啊，諗住安裝試試</t>
  </si>
  <si>
    <t xml:space="preserve">係啊，諗住安裝士士</t>
  </si>
  <si>
    <t xml:space="preserve">係呀諗住安裝事事</t>
  </si>
  <si>
    <t xml:space="preserve">clips/7eadcb23c0f546a9.flac</t>
  </si>
  <si>
    <t xml:space="preserve">師兄你好有幽默感</t>
  </si>
  <si>
    <t xml:space="preserve">師兄你好又憂慕噉</t>
  </si>
  <si>
    <t xml:space="preserve">司兄你好有幽物咁</t>
  </si>
  <si>
    <t xml:space="preserve">clips/d1715c99e7435f1c.flac</t>
  </si>
  <si>
    <t xml:space="preserve">我喊咗幾個鐘</t>
  </si>
  <si>
    <t xml:space="preserve">我喊咗幾個中</t>
  </si>
  <si>
    <t xml:space="preserve">clips/a2a573b7de7ffc7b.flac</t>
  </si>
  <si>
    <t xml:space="preserve">有時見呢啲人抵唔住頸</t>
  </si>
  <si>
    <t xml:space="preserve">有時見呢啲人抵唔住嘅</t>
  </si>
  <si>
    <t xml:space="preserve">有時見呢啲人抵唔住鏡</t>
  </si>
  <si>
    <t xml:space="preserve">有時見呢啲人底唔住鏡</t>
  </si>
  <si>
    <t xml:space="preserve">clips/52edd333b2080065.flac</t>
  </si>
  <si>
    <t xml:space="preserve">我嘅諗法就係用得就得，廣告電腦管家攔截得到</t>
  </si>
  <si>
    <t xml:space="preserve">我嘅諗法就係用得就得，廣告電腦管家蘭捷得到</t>
  </si>
  <si>
    <t xml:space="preserve">我嘅諗法就係用得就得廣告電腦管家攔截得到</t>
  </si>
  <si>
    <t xml:space="preserve">我嘅諗法就係用德就得港告電腦管家難折得到</t>
  </si>
  <si>
    <t xml:space="preserve">clips/c15580b1ed537dcc.flac</t>
  </si>
  <si>
    <t xml:space="preserve">一早一晚喺度做個生存報告都無任歡迎</t>
  </si>
  <si>
    <t xml:space="preserve">一早一晚喺度做個生存報告都冇入歡迎</t>
  </si>
  <si>
    <t xml:space="preserve">一早一晚喺度做個生存報告都冇任歡迎</t>
  </si>
  <si>
    <t xml:space="preserve">一早一晚喺度做嗰新全報路都冇入歡贏</t>
  </si>
  <si>
    <t xml:space="preserve">clips/13a3ca6d04274e35.flac</t>
  </si>
  <si>
    <t xml:space="preserve">唔係話華為會竊取個人資料咩？仲夠膽買？</t>
  </si>
  <si>
    <t xml:space="preserve">唔係話華為會是取個人資料咩，仲夠膽買？</t>
  </si>
  <si>
    <t xml:space="preserve">唔係話華為會市取過人資料咩，仲夠打買？</t>
  </si>
  <si>
    <t xml:space="preserve">唔係話華為會事取個人知料咩重夠膽買</t>
  </si>
  <si>
    <t xml:space="preserve">clips/f7a3bf2f6e6ad26d.flac</t>
  </si>
  <si>
    <t xml:space="preserve">定係你想叫返情趣小蟋蟀</t>
  </si>
  <si>
    <t xml:space="preserve">定係你想叫返程序小識術？</t>
  </si>
  <si>
    <t xml:space="preserve">定係你想叫番情取少識述</t>
  </si>
  <si>
    <t xml:space="preserve">定係你想叫返情隨小息室</t>
  </si>
  <si>
    <t xml:space="preserve">clips/5876cf98c2f37b3c.flac</t>
  </si>
  <si>
    <t xml:space="preserve">又唔算好好</t>
  </si>
  <si>
    <t xml:space="preserve">clips/18164c23c7bf1f56.flac</t>
  </si>
  <si>
    <t xml:space="preserve">我純粹係想安全啲</t>
  </si>
  <si>
    <t xml:space="preserve">我臣水係想安全啲</t>
  </si>
  <si>
    <t xml:space="preserve">我陣死係想安全啲</t>
  </si>
  <si>
    <t xml:space="preserve">clips/c0c014c21f0a834e.flac</t>
  </si>
  <si>
    <t xml:space="preserve">噉古代職業變成現代罵人</t>
  </si>
  <si>
    <t xml:space="preserve">噉古代職業變成現代馬人</t>
  </si>
  <si>
    <t xml:space="preserve">感古代積業變成現代馬人</t>
  </si>
  <si>
    <t xml:space="preserve">clips/f93af12d1c87e796.flac</t>
  </si>
  <si>
    <t xml:space="preserve">我中咗視象簽售會</t>
  </si>
  <si>
    <t xml:space="preserve">我中咗視像簽署會</t>
  </si>
  <si>
    <t xml:space="preserve">我中咗市長簽曬會</t>
  </si>
  <si>
    <t xml:space="preserve">我中咗自象簽受會</t>
  </si>
  <si>
    <t xml:space="preserve">clips/a76e0aa38b7e6c83.flac</t>
  </si>
  <si>
    <t xml:space="preserve">揾你麻煩？</t>
  </si>
  <si>
    <t xml:space="preserve">揾你麻煩</t>
  </si>
  <si>
    <t xml:space="preserve">揾理麻煩</t>
  </si>
  <si>
    <t xml:space="preserve">clips/8811e7f929dedf87.flac</t>
  </si>
  <si>
    <t xml:space="preserve">我用自己張相做頭像</t>
  </si>
  <si>
    <t xml:space="preserve">我用自己將想做頭像</t>
  </si>
  <si>
    <t xml:space="preserve">我用自己將想做頭著</t>
  </si>
  <si>
    <t xml:space="preserve">clips/19df40ad39f2db0a.flac</t>
  </si>
  <si>
    <t xml:space="preserve">我都知道自己比你所講嘅更有價值</t>
  </si>
  <si>
    <t xml:space="preserve">我都知道自己避免所講嘅更有價值</t>
  </si>
  <si>
    <t xml:space="preserve">無都知道自己比利所館嘅更有價值</t>
  </si>
  <si>
    <t xml:space="preserve">clips/335bd2fbb736cacc.flac</t>
  </si>
  <si>
    <t xml:space="preserve">恭喜晒今年嘅新生</t>
  </si>
  <si>
    <t xml:space="preserve">恭喜曬今年嘅新生</t>
  </si>
  <si>
    <t xml:space="preserve">clips/8e8446c871fa17b1.flac</t>
  </si>
  <si>
    <t xml:space="preserve">乜嘢幾矛盾呢</t>
  </si>
  <si>
    <t xml:space="preserve">乜嘢幾茅盾呢？</t>
  </si>
  <si>
    <t xml:space="preserve">乜嘢幾矛強呢</t>
  </si>
  <si>
    <t xml:space="preserve">乜嘢記麻強呢</t>
  </si>
  <si>
    <t xml:space="preserve">clips/46f888cd73ce17d5.flac</t>
  </si>
  <si>
    <t xml:space="preserve">有多方意見，要綜合參考</t>
  </si>
  <si>
    <t xml:space="preserve">有多方意見要綜合參考</t>
  </si>
  <si>
    <t xml:space="preserve">有多方義見要重合參考</t>
  </si>
  <si>
    <t xml:space="preserve">有多方意見要重合參考</t>
  </si>
  <si>
    <t xml:space="preserve">clips/ecd363649483e2f9.flac</t>
  </si>
  <si>
    <t xml:space="preserve">你嘅團隊亦都可以進入</t>
  </si>
  <si>
    <t xml:space="preserve">您嘅團隊亦都可以進入</t>
  </si>
  <si>
    <t xml:space="preserve">clips/176aa0d305546e2e.flac</t>
  </si>
  <si>
    <t xml:space="preserve">我對你係又愛又恨</t>
  </si>
  <si>
    <t xml:space="preserve">我對你係有愛有恨</t>
  </si>
  <si>
    <t xml:space="preserve">我對你係有我有限</t>
  </si>
  <si>
    <t xml:space="preserve">我隊你係有愛有幸</t>
  </si>
  <si>
    <t xml:space="preserve">clips/c24dc22391fa36cb.flac</t>
  </si>
  <si>
    <t xml:space="preserve">咬字好清晰，完全聽唔出係美國人</t>
  </si>
  <si>
    <t xml:space="preserve">拗字好清晰，完全聽唔出係美國人</t>
  </si>
  <si>
    <t xml:space="preserve">搞自好清色完全聽唔知係美過人</t>
  </si>
  <si>
    <t xml:space="preserve">clips/147423535ed1a221.flac</t>
  </si>
  <si>
    <t xml:space="preserve">睇下可唔可以保存漢字讀音</t>
  </si>
  <si>
    <t xml:space="preserve">睇下可唔可保全漢置讀音</t>
  </si>
  <si>
    <t xml:space="preserve">clips/09c29d8d5a8905d1.flac</t>
  </si>
  <si>
    <t xml:space="preserve">待我再次審閱後上傳</t>
  </si>
  <si>
    <t xml:space="preserve">待我再次審閲後上傳</t>
  </si>
  <si>
    <t xml:space="preserve">待我再似什月校上存</t>
  </si>
  <si>
    <t xml:space="preserve">clips/8fb09ac3641399e2.flac</t>
  </si>
  <si>
    <t xml:space="preserve">用邊張信用卡好呢？</t>
  </si>
  <si>
    <t xml:space="preserve">用邊樣上靠呢？</t>
  </si>
  <si>
    <t xml:space="preserve">我邊樣常靠呢</t>
  </si>
  <si>
    <t xml:space="preserve">唔比樣上靠呢</t>
  </si>
  <si>
    <t xml:space="preserve">clips/7178c811038982d3.flac</t>
  </si>
  <si>
    <t xml:space="preserve">但我諗會係最後先去嘅地方</t>
  </si>
  <si>
    <t xml:space="preserve">但我諗會係最後先去嘅地放</t>
  </si>
  <si>
    <t xml:space="preserve">clips/0c43ee5bcf1e5258.flac</t>
  </si>
  <si>
    <t xml:space="preserve">利申唔熟電腦嘢</t>
  </si>
  <si>
    <t xml:space="preserve">你身唔熟電腦嘢</t>
  </si>
  <si>
    <t xml:space="preserve">你伸唔熟電腦嘢</t>
  </si>
  <si>
    <t xml:space="preserve">利新唔熟跌腦嘢</t>
  </si>
  <si>
    <t xml:space="preserve">clips/324bb01f43373020.flac</t>
  </si>
  <si>
    <t xml:space="preserve">最近要返工，得閒嗰陣再寫低先</t>
  </si>
  <si>
    <t xml:space="preserve">最近要返工得行果陣在社低線</t>
  </si>
  <si>
    <t xml:space="preserve">最近要返工得行嗰陣在捨低先</t>
  </si>
  <si>
    <t xml:space="preserve">clips/86fe439915e7ce9b.flac</t>
  </si>
  <si>
    <t xml:space="preserve">我準備出門嚕</t>
  </si>
  <si>
    <t xml:space="preserve">我準備出門囉</t>
  </si>
  <si>
    <t xml:space="preserve">我長備出門嚕</t>
  </si>
  <si>
    <t xml:space="preserve">clips/284b52d353ce86b4.flac</t>
  </si>
  <si>
    <t xml:space="preserve">呢度同性戀用嘅係邊個詞</t>
  </si>
  <si>
    <t xml:space="preserve">呢度同聖遠用嘅係邊個詞</t>
  </si>
  <si>
    <t xml:space="preserve">clips/b7ea04113a65195a.flac</t>
  </si>
  <si>
    <t xml:space="preserve">呢種諗法有啲似幾十年前嘅香港</t>
  </si>
  <si>
    <t xml:space="preserve">你仲諗法有啲似幾十年前嘅香港</t>
  </si>
  <si>
    <t xml:space="preserve">你仲諗法有啲似幾十面前嘅香港</t>
  </si>
  <si>
    <t xml:space="preserve">呢重臨法也啲次幾就面前嘅香港</t>
  </si>
  <si>
    <t xml:space="preserve">clips/507d35e889af1841.flac</t>
  </si>
  <si>
    <t xml:space="preserve">因為好似冇人識改</t>
  </si>
  <si>
    <t xml:space="preserve">clips/58ca602fee7cad10.flac</t>
  </si>
  <si>
    <t xml:space="preserve">佢把聲好好聽</t>
  </si>
  <si>
    <t xml:space="preserve">佢百聲好好聽</t>
  </si>
  <si>
    <t xml:space="preserve">clips/8d9e791bba52b038.flac</t>
  </si>
  <si>
    <t xml:space="preserve">都係個例子證明你本業做得夠好，點都生存到</t>
  </si>
  <si>
    <t xml:space="preserve">都係個例子證明你本業做得夠好點都生存到</t>
  </si>
  <si>
    <t xml:space="preserve">都係個荔子剩明你本業做得舊好點都新傳到</t>
  </si>
  <si>
    <t xml:space="preserve">clips/c269b079621ba456.flac</t>
  </si>
  <si>
    <t xml:space="preserve">一邊讀書一邊做嘢咪好辛苦囉</t>
  </si>
  <si>
    <t xml:space="preserve">一邊讀書一邊做嘢，咪好辛苦囉</t>
  </si>
  <si>
    <t xml:space="preserve">clips/f847ffcc8753156c.flac</t>
  </si>
  <si>
    <t xml:space="preserve">好，等個常用錯字表傾掂我就發</t>
  </si>
  <si>
    <t xml:space="preserve">好，等個常用錯字表傾電我就花</t>
  </si>
  <si>
    <t xml:space="preserve">好等個常用錯字表傾點我就法</t>
  </si>
  <si>
    <t xml:space="preserve">clips/3742199e1c8d1971.flac</t>
  </si>
  <si>
    <t xml:space="preserve">淨係可以揀一個</t>
  </si>
  <si>
    <t xml:space="preserve">淨係可以簡一個</t>
  </si>
  <si>
    <t xml:space="preserve">clips/7180e16caabc536c.flac</t>
  </si>
  <si>
    <t xml:space="preserve">有字個網站先會寫出嚟嫁</t>
  </si>
  <si>
    <t xml:space="preserve">有字個網站先會寫出來㗎</t>
  </si>
  <si>
    <t xml:space="preserve">有字過網站才會寫出嚟價</t>
  </si>
  <si>
    <t xml:space="preserve">有字個網站朝會寫出嚟㗎</t>
  </si>
  <si>
    <t xml:space="preserve">clips/9fb9832c3ab60894.flac</t>
  </si>
  <si>
    <t xml:space="preserve">如果贏咗我就會去食麥當勞慶祝</t>
  </si>
  <si>
    <t xml:space="preserve">如果贏咗就會去食麥當勞慶祝</t>
  </si>
  <si>
    <t xml:space="preserve">如果贏咗就會去食物當勞興祝</t>
  </si>
  <si>
    <t xml:space="preserve">如果人左就會去食物當勞慶燭</t>
  </si>
  <si>
    <t xml:space="preserve">clips/c27ccceca282e15e.flac</t>
  </si>
  <si>
    <t xml:space="preserve">留名等打冷震</t>
  </si>
  <si>
    <t xml:space="preserve">流名等打爛陣</t>
  </si>
  <si>
    <t xml:space="preserve">留名等，打爛鎮</t>
  </si>
  <si>
    <t xml:space="preserve">clips/5a3e24900e94df12.flac</t>
  </si>
  <si>
    <t xml:space="preserve">間中都要恥笑下娛樂下嘅</t>
  </si>
  <si>
    <t xml:space="preserve">簡中都要恥笑下娛樂下嘅</t>
  </si>
  <si>
    <t xml:space="preserve">簡裝都要似少下輿樂下嘅</t>
  </si>
  <si>
    <t xml:space="preserve">很中都要子笑下如落下嘅</t>
  </si>
  <si>
    <t xml:space="preserve">clips/18f3ea35a295f073.flac</t>
  </si>
  <si>
    <t xml:space="preserve">我去買杯咖啡</t>
  </si>
  <si>
    <t xml:space="preserve">落去買杯講啡</t>
  </si>
  <si>
    <t xml:space="preserve">clips/0519127674c4bbc1.flac</t>
  </si>
  <si>
    <t xml:space="preserve">年華不復相逢時</t>
  </si>
  <si>
    <t xml:space="preserve">年華不福相逢時</t>
  </si>
  <si>
    <t xml:space="preserve">年華不復雙奉事</t>
  </si>
  <si>
    <t xml:space="preserve">年華不福相鳳事</t>
  </si>
  <si>
    <t xml:space="preserve">clips/c2f93f0c40bb95ae.flac</t>
  </si>
  <si>
    <t xml:space="preserve">你今日先用過</t>
  </si>
  <si>
    <t xml:space="preserve">你今日先用過？</t>
  </si>
  <si>
    <t xml:space="preserve">你今日先弄過</t>
  </si>
  <si>
    <t xml:space="preserve">你今日先旺過</t>
  </si>
  <si>
    <t xml:space="preserve">clips/e31b802ee204f5b3.flac</t>
  </si>
  <si>
    <t xml:space="preserve">但係硬係覺得語言文化跟咗北人噉</t>
  </si>
  <si>
    <t xml:space="preserve">但啱係覺得語言文化跟咗不人噉</t>
  </si>
  <si>
    <t xml:space="preserve">大人眼睇覺得語言文化跟咗不仁咁</t>
  </si>
  <si>
    <t xml:space="preserve">大眼係覺得語以文化根作不人咁</t>
  </si>
  <si>
    <t xml:space="preserve">clips/9efaff6ba3fd8d39.flac</t>
  </si>
  <si>
    <t xml:space="preserve">要我引導一下</t>
  </si>
  <si>
    <t xml:space="preserve">要我引渡一下</t>
  </si>
  <si>
    <t xml:space="preserve">要我人到一下</t>
  </si>
  <si>
    <t xml:space="preserve">clips/78dc2c17fbefd55b.flac</t>
  </si>
  <si>
    <t xml:space="preserve">我識講泰文㗎！我講兩句你聽吖！</t>
  </si>
  <si>
    <t xml:space="preserve">我識講泰文㗎，我講兩句你聽下</t>
  </si>
  <si>
    <t xml:space="preserve">我識講太文㗎我講兩句你聽嚇</t>
  </si>
  <si>
    <t xml:space="preserve">我識港太問㗎我講兩句你聽呀</t>
  </si>
  <si>
    <t xml:space="preserve">clips/c433e1f518be7b4c.flac</t>
  </si>
  <si>
    <t xml:space="preserve">你寫緊乜呀？</t>
  </si>
  <si>
    <t xml:space="preserve">你寫緊乜啊？</t>
  </si>
  <si>
    <t xml:space="preserve">你死咁乜啊</t>
  </si>
  <si>
    <t xml:space="preserve">你死咁呀呀</t>
  </si>
  <si>
    <t xml:space="preserve">clips/055471d757aa51c8.flac</t>
  </si>
  <si>
    <t xml:space="preserve">先生請留步</t>
  </si>
  <si>
    <t xml:space="preserve">先生，請留步</t>
  </si>
  <si>
    <t xml:space="preserve">遮山請樓煲</t>
  </si>
  <si>
    <t xml:space="preserve">clips/20c27d0a29bcfb56.flac</t>
  </si>
  <si>
    <t xml:space="preserve">只許州官放火，不准百姓點燈</t>
  </si>
  <si>
    <t xml:space="preserve">只去州官放火，不準百姓點燈</t>
  </si>
  <si>
    <t xml:space="preserve">只去洲觀放火不準白勝點登</t>
  </si>
  <si>
    <t xml:space="preserve">clips/10c58e9f4f914ec5.flac</t>
  </si>
  <si>
    <t xml:space="preserve">之前有見過，醒唔起喺邊個群定網站</t>
  </si>
  <si>
    <t xml:space="preserve">之前有見過醒唔起係邊個羣定網站</t>
  </si>
  <si>
    <t xml:space="preserve">之前有見過，死唔起喺邊個羣定網站</t>
  </si>
  <si>
    <t xml:space="preserve">支前有見角死唔起係邊個羣定旺站</t>
  </si>
  <si>
    <t xml:space="preserve">clips/7f48c0aec7d8d215.flac</t>
  </si>
  <si>
    <t xml:space="preserve">得你一個人搬係冇用</t>
  </si>
  <si>
    <t xml:space="preserve">得你一個人半係冇用</t>
  </si>
  <si>
    <t xml:space="preserve">得你一個人本係無用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</si>
</sst>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0.00"/>
    <numFmt numFmtId="167" formatCode="0"/>
    <numFmt numFmtId="168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2"/>
      <name val="Noto Sans CJK SC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1F4D3A"/>
        <bgColor rgb="FF333300"/>
      </patternFill>
    </fill>
    <fill>
      <patternFill patternType="solid">
        <fgColor rgb="FFFFF4D6"/>
        <bgColor rgb="FFE3F2D0"/>
      </patternFill>
    </fill>
    <fill>
      <patternFill patternType="solid">
        <fgColor rgb="FFE3F2D0"/>
        <bgColor rgb="FFFFF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3F2D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D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1:N6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12"/>
    <col collapsed="false" customWidth="true" hidden="false" outlineLevel="0" max="4" min="4" style="0" width="50"/>
    <col collapsed="false" customWidth="true" hidden="false" outlineLevel="0" max="5" min="5" style="0" width="30"/>
    <col collapsed="false" customWidth="true" hidden="false" outlineLevel="0" max="6" min="6" style="0" width="24"/>
    <col collapsed="false" customWidth="true" hidden="false" outlineLevel="0" max="7" min="7" style="0" width="18"/>
    <col collapsed="false" customWidth="true" hidden="false" outlineLevel="0" max="8" min="8" style="0" width="22"/>
    <col collapsed="false" customWidth="true" hidden="false" outlineLevel="0" max="10" min="9" style="0" width="14"/>
    <col collapsed="false" customWidth="true" hidden="false" outlineLevel="0" max="11" min="11" style="0" width="46"/>
    <col collapsed="false" customWidth="true" hidden="false" outlineLevel="0" max="12" min="12" style="0" width="70"/>
    <col collapsed="false" customWidth="true" hidden="false" outlineLevel="0" max="13" min="13" style="0" width="26"/>
    <col collapsed="false" customWidth="true" hidden="false" outlineLevel="0" max="14" min="14" style="0" width="28"/>
  </cols>
  <sheetData>
    <row r="1" customFormat="false" ht="19.4" hidden="false" customHeight="false" outlineLevel="0" collapsed="false">
      <c r="C1" s="1" t="s">
        <v>0</v>
      </c>
      <c r="D1" s="2" t="s">
        <v>1</v>
      </c>
    </row>
    <row r="2" customFormat="false" ht="15" hidden="false" customHeight="false" outlineLevel="0" collapsed="false">
      <c r="D2" s="3" t="s">
        <v>2</v>
      </c>
    </row>
    <row r="3" customFormat="false" ht="15" hidden="false" customHeight="false" outlineLevel="0" collapsed="false">
      <c r="D3" s="3" t="s">
        <v>3</v>
      </c>
    </row>
    <row r="4" customFormat="false" ht="15" hidden="false" customHeight="false" outlineLevel="0" collapsed="false">
      <c r="D4" s="3" t="s">
        <v>4</v>
      </c>
    </row>
    <row r="6" customFormat="false" ht="15" hidden="false" customHeight="false" outlineLevel="0" collapsed="false">
      <c r="C6" s="2" t="s">
        <v>5</v>
      </c>
      <c r="J6" s="2" t="s">
        <v>6</v>
      </c>
    </row>
    <row r="8" customFormat="false" ht="15" hidden="false" customHeight="false" outlineLevel="0" collapsed="false">
      <c r="C8" s="1" t="s">
        <v>7</v>
      </c>
      <c r="E8" s="1" t="s">
        <v>8</v>
      </c>
      <c r="J8" s="1" t="s">
        <v>9</v>
      </c>
    </row>
    <row r="9" customFormat="false" ht="15" hidden="false" customHeight="false" outlineLevel="0" collapsed="false">
      <c r="C9" s="1" t="s">
        <v>10</v>
      </c>
      <c r="E9" s="3" t="s">
        <v>11</v>
      </c>
      <c r="J9" s="3" t="s">
        <v>12</v>
      </c>
    </row>
    <row r="10" customFormat="false" ht="15" hidden="false" customHeight="false" outlineLevel="0" collapsed="false">
      <c r="E10" s="3" t="s">
        <v>13</v>
      </c>
      <c r="F10" s="3" t="s">
        <v>14</v>
      </c>
      <c r="K10" s="3" t="s">
        <v>15</v>
      </c>
    </row>
    <row r="11" customFormat="false" ht="15" hidden="false" customHeight="false" outlineLevel="0" collapsed="false">
      <c r="E11" s="3" t="s">
        <v>16</v>
      </c>
      <c r="F11" s="3" t="n">
        <v>3000</v>
      </c>
      <c r="K11" s="3" t="s">
        <v>17</v>
      </c>
    </row>
    <row r="12" customFormat="false" ht="15" hidden="false" customHeight="false" outlineLevel="0" collapsed="false">
      <c r="E12" s="3" t="s">
        <v>18</v>
      </c>
      <c r="F12" s="3" t="n">
        <v>600</v>
      </c>
    </row>
    <row r="13" customFormat="false" ht="15" hidden="false" customHeight="false" outlineLevel="0" collapsed="false">
      <c r="E13" s="3" t="s">
        <v>19</v>
      </c>
      <c r="F13" s="3" t="n">
        <f aca="false">COUNTA('P1 test'!A2:A109)</f>
        <v>108</v>
      </c>
      <c r="J13" s="1" t="s">
        <v>20</v>
      </c>
      <c r="M13" s="3" t="s">
        <v>21</v>
      </c>
    </row>
    <row r="14" customFormat="false" ht="33.75" hidden="false" customHeight="true" outlineLevel="0" collapsed="false">
      <c r="J14" s="4" t="s">
        <v>22</v>
      </c>
      <c r="K14" s="4" t="s">
        <v>23</v>
      </c>
      <c r="L14" s="4" t="s">
        <v>24</v>
      </c>
      <c r="M14" s="4" t="s">
        <v>25</v>
      </c>
      <c r="N14" s="4" t="s">
        <v>26</v>
      </c>
    </row>
    <row r="15" customFormat="false" ht="48" hidden="false" customHeight="true" outlineLevel="0" collapsed="false">
      <c r="D15" s="4" t="s">
        <v>27</v>
      </c>
      <c r="E15" s="4" t="s">
        <v>28</v>
      </c>
      <c r="F15" s="4" t="s">
        <v>29</v>
      </c>
      <c r="G15" s="4" t="s">
        <v>30</v>
      </c>
      <c r="H15" s="4" t="s">
        <v>31</v>
      </c>
      <c r="J15" s="5" t="s">
        <v>32</v>
      </c>
      <c r="K15" s="6" t="s">
        <v>33</v>
      </c>
      <c r="L15" s="6" t="s">
        <v>34</v>
      </c>
      <c r="M15" s="6" t="s">
        <v>35</v>
      </c>
      <c r="N15" s="7"/>
    </row>
    <row r="16" customFormat="false" ht="61.5" hidden="false" customHeight="true" outlineLevel="0" collapsed="false">
      <c r="C16" s="5" t="s">
        <v>36</v>
      </c>
      <c r="D16" s="5" t="s">
        <v>37</v>
      </c>
      <c r="E16" s="8" t="n">
        <v>0.5783</v>
      </c>
      <c r="F16" s="9" t="n">
        <v>0.89</v>
      </c>
      <c r="G16" s="10" t="n">
        <v>214.9</v>
      </c>
      <c r="H16" s="8" t="n">
        <v>0.8519</v>
      </c>
      <c r="J16" s="5" t="s">
        <v>38</v>
      </c>
      <c r="K16" s="6" t="s">
        <v>39</v>
      </c>
      <c r="L16" s="6" t="s">
        <v>40</v>
      </c>
      <c r="M16" s="6" t="s">
        <v>35</v>
      </c>
      <c r="N16" s="7"/>
    </row>
    <row r="17" customFormat="false" ht="61.5" hidden="false" customHeight="true" outlineLevel="0" collapsed="false">
      <c r="C17" s="11" t="s">
        <v>41</v>
      </c>
      <c r="D17" s="11" t="s">
        <v>42</v>
      </c>
      <c r="E17" s="12" t="n">
        <v>0.6417</v>
      </c>
      <c r="F17" s="13" t="n">
        <v>1.75</v>
      </c>
      <c r="G17" s="14" t="n">
        <v>395</v>
      </c>
      <c r="H17" s="12" t="n">
        <f aca="false">COUNTIF('P1 test'!D2:D109,"Correct")/COUNTA('P1 test'!D2:D109)</f>
        <v>0.888888888888889</v>
      </c>
      <c r="J17" s="5" t="s">
        <v>43</v>
      </c>
      <c r="K17" s="6" t="s">
        <v>44</v>
      </c>
      <c r="L17" s="6" t="s">
        <v>45</v>
      </c>
      <c r="M17" s="6" t="s">
        <v>35</v>
      </c>
      <c r="N17" s="7"/>
    </row>
    <row r="18" customFormat="false" ht="61.5" hidden="false" customHeight="true" outlineLevel="0" collapsed="false">
      <c r="C18" s="5" t="s">
        <v>46</v>
      </c>
      <c r="D18" s="5" t="s">
        <v>47</v>
      </c>
      <c r="E18" s="8" t="n">
        <v>0.6533</v>
      </c>
      <c r="F18" s="9" t="n">
        <v>4.34</v>
      </c>
      <c r="G18" s="10" t="n">
        <v>774.8</v>
      </c>
      <c r="H18" s="8" t="n">
        <v>0.8056</v>
      </c>
      <c r="J18" s="5" t="s">
        <v>48</v>
      </c>
      <c r="K18" s="6" t="s">
        <v>49</v>
      </c>
      <c r="L18" s="6" t="s">
        <v>50</v>
      </c>
      <c r="M18" s="6" t="s">
        <v>35</v>
      </c>
      <c r="N18" s="7"/>
    </row>
    <row r="19" customFormat="false" ht="61.5" hidden="false" customHeight="true" outlineLevel="0" collapsed="false">
      <c r="C19" s="5" t="s">
        <v>51</v>
      </c>
      <c r="D19" s="5" t="s">
        <v>52</v>
      </c>
      <c r="E19" s="8" t="n">
        <v>0.3983</v>
      </c>
      <c r="F19" s="5" t="s">
        <v>53</v>
      </c>
      <c r="G19" s="5" t="n">
        <v>0</v>
      </c>
      <c r="H19" s="8" t="n">
        <v>0.6481</v>
      </c>
      <c r="J19" s="5" t="s">
        <v>54</v>
      </c>
      <c r="K19" s="6" t="s">
        <v>55</v>
      </c>
      <c r="L19" s="6" t="s">
        <v>56</v>
      </c>
      <c r="M19" s="6" t="s">
        <v>35</v>
      </c>
      <c r="N19" s="7"/>
    </row>
    <row r="20" customFormat="false" ht="61.5" hidden="false" customHeight="true" outlineLevel="0" collapsed="false">
      <c r="C20" s="5" t="s">
        <v>51</v>
      </c>
      <c r="D20" s="5" t="s">
        <v>57</v>
      </c>
      <c r="E20" s="5" t="s">
        <v>58</v>
      </c>
      <c r="F20" s="9" t="n">
        <v>93.11</v>
      </c>
      <c r="G20" s="5" t="n">
        <v>0</v>
      </c>
      <c r="H20" s="8" t="n">
        <v>0.287</v>
      </c>
      <c r="J20" s="5" t="s">
        <v>59</v>
      </c>
      <c r="K20" s="6" t="s">
        <v>60</v>
      </c>
      <c r="L20" s="6" t="s">
        <v>61</v>
      </c>
      <c r="M20" s="6" t="s">
        <v>35</v>
      </c>
      <c r="N20" s="7"/>
    </row>
    <row r="21" customFormat="false" ht="61.5" hidden="false" customHeight="true" outlineLevel="0" collapsed="false">
      <c r="D21" s="15" t="s">
        <v>62</v>
      </c>
      <c r="E21" s="15"/>
      <c r="F21" s="15"/>
      <c r="G21" s="15"/>
      <c r="H21" s="15"/>
      <c r="J21" s="5" t="s">
        <v>63</v>
      </c>
      <c r="K21" s="6" t="s">
        <v>64</v>
      </c>
      <c r="L21" s="6" t="s">
        <v>65</v>
      </c>
      <c r="M21" s="6" t="s">
        <v>35</v>
      </c>
      <c r="N21" s="7"/>
    </row>
    <row r="22" customFormat="false" ht="61.5" hidden="false" customHeight="true" outlineLevel="0" collapsed="false">
      <c r="J22" s="5" t="s">
        <v>66</v>
      </c>
      <c r="K22" s="6" t="s">
        <v>67</v>
      </c>
      <c r="L22" s="6" t="s">
        <v>68</v>
      </c>
      <c r="M22" s="6" t="s">
        <v>35</v>
      </c>
      <c r="N22" s="7"/>
    </row>
    <row r="23" customFormat="false" ht="61.5" hidden="false" customHeight="true" outlineLevel="0" collapsed="false">
      <c r="E23" s="1" t="s">
        <v>69</v>
      </c>
      <c r="J23" s="5" t="s">
        <v>70</v>
      </c>
      <c r="K23" s="6" t="s">
        <v>71</v>
      </c>
      <c r="L23" s="6" t="s">
        <v>72</v>
      </c>
      <c r="M23" s="6" t="s">
        <v>35</v>
      </c>
      <c r="N23" s="7"/>
    </row>
    <row r="24" customFormat="false" ht="61.5" hidden="false" customHeight="true" outlineLevel="0" collapsed="false">
      <c r="E24" s="3" t="s">
        <v>73</v>
      </c>
      <c r="J24" s="5" t="s">
        <v>74</v>
      </c>
      <c r="K24" s="6" t="s">
        <v>75</v>
      </c>
      <c r="L24" s="6" t="s">
        <v>76</v>
      </c>
      <c r="M24" s="6" t="s">
        <v>35</v>
      </c>
      <c r="N24" s="7"/>
    </row>
    <row r="25" customFormat="false" ht="61.5" hidden="false" customHeight="true" outlineLevel="0" collapsed="false">
      <c r="E25" s="3" t="s">
        <v>77</v>
      </c>
      <c r="J25" s="5" t="s">
        <v>78</v>
      </c>
      <c r="K25" s="6" t="s">
        <v>79</v>
      </c>
      <c r="L25" s="6" t="s">
        <v>80</v>
      </c>
      <c r="M25" s="6" t="s">
        <v>35</v>
      </c>
      <c r="N25" s="7"/>
    </row>
    <row r="26" customFormat="false" ht="61.5" hidden="false" customHeight="true" outlineLevel="0" collapsed="false">
      <c r="J26" s="5" t="s">
        <v>81</v>
      </c>
      <c r="K26" s="6" t="s">
        <v>82</v>
      </c>
      <c r="L26" s="6" t="s">
        <v>83</v>
      </c>
      <c r="M26" s="6" t="s">
        <v>35</v>
      </c>
      <c r="N26" s="7"/>
    </row>
    <row r="27" customFormat="false" ht="61.5" hidden="false" customHeight="true" outlineLevel="0" collapsed="false">
      <c r="J27" s="5" t="s">
        <v>84</v>
      </c>
      <c r="K27" s="6" t="s">
        <v>85</v>
      </c>
      <c r="L27" s="6" t="s">
        <v>86</v>
      </c>
      <c r="M27" s="6" t="s">
        <v>35</v>
      </c>
      <c r="N27" s="7"/>
    </row>
    <row r="28" customFormat="false" ht="61.5" hidden="false" customHeight="true" outlineLevel="0" collapsed="false">
      <c r="C28" s="1" t="s">
        <v>7</v>
      </c>
      <c r="E28" s="1" t="s">
        <v>87</v>
      </c>
      <c r="J28" s="5" t="s">
        <v>88</v>
      </c>
      <c r="K28" s="6" t="s">
        <v>89</v>
      </c>
      <c r="L28" s="6" t="s">
        <v>90</v>
      </c>
      <c r="M28" s="6" t="s">
        <v>35</v>
      </c>
      <c r="N28" s="7"/>
    </row>
    <row r="29" customFormat="false" ht="61.5" hidden="false" customHeight="true" outlineLevel="0" collapsed="false">
      <c r="C29" s="1" t="s">
        <v>91</v>
      </c>
      <c r="J29" s="5" t="s">
        <v>92</v>
      </c>
      <c r="K29" s="6" t="s">
        <v>93</v>
      </c>
      <c r="L29" s="6" t="s">
        <v>94</v>
      </c>
      <c r="M29" s="6" t="s">
        <v>35</v>
      </c>
      <c r="N29" s="7"/>
    </row>
    <row r="30" customFormat="false" ht="61.5" hidden="false" customHeight="true" outlineLevel="0" collapsed="false">
      <c r="E30" s="3" t="s">
        <v>13</v>
      </c>
      <c r="F30" s="3" t="s">
        <v>95</v>
      </c>
      <c r="J30" s="5" t="s">
        <v>96</v>
      </c>
      <c r="K30" s="6" t="s">
        <v>97</v>
      </c>
      <c r="L30" s="6" t="s">
        <v>98</v>
      </c>
      <c r="M30" s="6" t="s">
        <v>99</v>
      </c>
      <c r="N30" s="7"/>
    </row>
    <row r="31" customFormat="false" ht="61.5" hidden="false" customHeight="true" outlineLevel="0" collapsed="false">
      <c r="E31" s="3" t="s">
        <v>100</v>
      </c>
      <c r="F31" s="3" t="n">
        <v>600</v>
      </c>
      <c r="J31" s="5" t="s">
        <v>101</v>
      </c>
      <c r="K31" s="6" t="s">
        <v>102</v>
      </c>
      <c r="L31" s="6" t="s">
        <v>103</v>
      </c>
      <c r="M31" s="6" t="s">
        <v>35</v>
      </c>
      <c r="N31" s="7"/>
    </row>
    <row r="32" customFormat="false" ht="61.5" hidden="false" customHeight="true" outlineLevel="0" collapsed="false">
      <c r="E32" s="3" t="s">
        <v>104</v>
      </c>
      <c r="F32" s="3" t="n">
        <f aca="false">COUNTA('P2 queries'!A2:A201)</f>
        <v>200</v>
      </c>
      <c r="J32" s="5" t="s">
        <v>105</v>
      </c>
      <c r="K32" s="6" t="s">
        <v>106</v>
      </c>
      <c r="L32" s="6" t="s">
        <v>107</v>
      </c>
      <c r="M32" s="6" t="s">
        <v>35</v>
      </c>
      <c r="N32" s="7"/>
    </row>
    <row r="33" customFormat="false" ht="61.5" hidden="false" customHeight="true" outlineLevel="0" collapsed="false">
      <c r="E33" s="3" t="s">
        <v>108</v>
      </c>
      <c r="F33" s="3" t="n">
        <v>24</v>
      </c>
      <c r="J33" s="5" t="s">
        <v>109</v>
      </c>
      <c r="K33" s="6" t="s">
        <v>110</v>
      </c>
      <c r="L33" s="6" t="s">
        <v>111</v>
      </c>
      <c r="M33" s="6" t="s">
        <v>35</v>
      </c>
      <c r="N33" s="7"/>
    </row>
    <row r="34" customFormat="false" ht="61.5" hidden="false" customHeight="true" outlineLevel="0" collapsed="false">
      <c r="E34" s="3" t="s">
        <v>112</v>
      </c>
      <c r="F34" s="3" t="n">
        <v>100</v>
      </c>
      <c r="J34" s="5" t="s">
        <v>113</v>
      </c>
      <c r="K34" s="6" t="s">
        <v>114</v>
      </c>
      <c r="L34" s="6" t="s">
        <v>115</v>
      </c>
      <c r="M34" s="6" t="s">
        <v>116</v>
      </c>
      <c r="N34" s="7"/>
    </row>
    <row r="36" customFormat="false" ht="48" hidden="false" customHeight="true" outlineLevel="0" collapsed="false">
      <c r="D36" s="4" t="s">
        <v>27</v>
      </c>
      <c r="E36" s="4" t="s">
        <v>117</v>
      </c>
      <c r="F36" s="4" t="s">
        <v>118</v>
      </c>
      <c r="G36" s="4" t="s">
        <v>119</v>
      </c>
      <c r="H36" s="4" t="s">
        <v>120</v>
      </c>
      <c r="I36" s="4" t="s">
        <v>121</v>
      </c>
      <c r="L36" s="1" t="s">
        <v>122</v>
      </c>
      <c r="M36" s="3" t="str">
        <f aca="false">COUNTIF(M15:M34,"Correct")&amp;" out of "&amp;COUNTA(M15:M34)</f>
        <v>18 out of 20</v>
      </c>
    </row>
    <row r="37" customFormat="false" ht="15" hidden="false" customHeight="false" outlineLevel="0" collapsed="false">
      <c r="C37" s="11" t="s">
        <v>36</v>
      </c>
      <c r="D37" s="11" t="s">
        <v>123</v>
      </c>
      <c r="E37" s="12" t="n">
        <f aca="false">COUNTIF('P2 queries'!D2:D201,"&lt;=5")/COUNT('P2 queries'!D2:D201)</f>
        <v>0.895</v>
      </c>
      <c r="F37" s="13" t="n">
        <v>2.26</v>
      </c>
      <c r="G37" s="12" t="n">
        <f aca="false">COUNTIF('P2 queries'!D2:D201,1)/COUNT('P2 queries'!D2:D201)</f>
        <v>0.655</v>
      </c>
      <c r="H37" s="12" t="n">
        <v>0.5417</v>
      </c>
      <c r="I37" s="11" t="n">
        <v>3</v>
      </c>
      <c r="M37" s="16" t="n">
        <f aca="false">COUNTIF(M15:M34,"Correct")/COUNTA(M15:M34)</f>
        <v>0.9</v>
      </c>
    </row>
    <row r="38" customFormat="false" ht="15" hidden="false" customHeight="false" outlineLevel="0" collapsed="false">
      <c r="C38" s="5" t="s">
        <v>41</v>
      </c>
      <c r="D38" s="5" t="s">
        <v>124</v>
      </c>
      <c r="E38" s="8" t="n">
        <f aca="false">COUNTIF('P2 queries'!E2:E201,"&lt;=5")/COUNT('P2 queries'!E2:E201)</f>
        <v>0.895</v>
      </c>
      <c r="F38" s="9" t="n">
        <v>5.89</v>
      </c>
      <c r="G38" s="8" t="n">
        <f aca="false">COUNTIF('P2 queries'!E2:E201,1)/COUNT('P2 queries'!E2:E201)</f>
        <v>0.62</v>
      </c>
      <c r="H38" s="8" t="n">
        <v>0.5833</v>
      </c>
      <c r="I38" s="5" t="n">
        <v>2</v>
      </c>
      <c r="L38" s="1" t="s">
        <v>125</v>
      </c>
      <c r="N38" s="16" t="str">
        <f aca="false">IF(COUNTA(N15:N34)=0,"not checked yet",COUNTIF(N15:N34,"Correct")/COUNTA(N15:N34))</f>
        <v>not checked yet</v>
      </c>
    </row>
    <row r="39" customFormat="false" ht="15" hidden="false" customHeight="false" outlineLevel="0" collapsed="false">
      <c r="C39" s="5" t="s">
        <v>46</v>
      </c>
      <c r="D39" s="5" t="s">
        <v>126</v>
      </c>
      <c r="E39" s="8" t="n">
        <f aca="false">COUNTIF('P2 queries'!F2:F201,"&lt;=5")/COUNT('P2 queries'!F2:F201)</f>
        <v>0.895</v>
      </c>
      <c r="F39" s="9" t="n">
        <v>2.72</v>
      </c>
      <c r="G39" s="8" t="n">
        <f aca="false">COUNTIF('P2 queries'!F2:F201,1)/COUNT('P2 queries'!F2:F201)</f>
        <v>0.6</v>
      </c>
      <c r="H39" s="8" t="n">
        <v>0.6</v>
      </c>
      <c r="I39" s="5" t="n">
        <v>5</v>
      </c>
    </row>
    <row r="40" customFormat="false" ht="31.5" hidden="false" customHeight="true" outlineLevel="0" collapsed="false">
      <c r="C40" s="5" t="s">
        <v>51</v>
      </c>
      <c r="D40" s="5" t="s">
        <v>127</v>
      </c>
      <c r="E40" s="8" t="n">
        <f aca="false">COUNTIF('P2 queries'!C2:C201,"&lt;=5")/COUNT('P2 queries'!C2:C201)</f>
        <v>0.89</v>
      </c>
      <c r="F40" s="5" t="s">
        <v>128</v>
      </c>
      <c r="G40" s="8" t="n">
        <f aca="false">COUNTIF('P2 queries'!C2:C201,1)/COUNT('P2 queries'!C2:C201)</f>
        <v>0.64</v>
      </c>
      <c r="H40" s="8" t="n">
        <v>0.475</v>
      </c>
      <c r="L40" s="15" t="s">
        <v>129</v>
      </c>
      <c r="M40" s="15"/>
      <c r="N40" s="15"/>
    </row>
    <row r="41" customFormat="false" ht="43.5" hidden="false" customHeight="true" outlineLevel="0" collapsed="false">
      <c r="D41" s="15" t="s">
        <v>130</v>
      </c>
      <c r="E41" s="15"/>
      <c r="F41" s="15"/>
      <c r="G41" s="15"/>
      <c r="H41" s="15"/>
    </row>
    <row r="43" customFormat="false" ht="15" hidden="false" customHeight="false" outlineLevel="0" collapsed="false">
      <c r="E43" s="1" t="s">
        <v>131</v>
      </c>
      <c r="J43" s="1" t="s">
        <v>132</v>
      </c>
    </row>
    <row r="44" customFormat="false" ht="15" hidden="false" customHeight="false" outlineLevel="0" collapsed="false">
      <c r="E44" s="3" t="s">
        <v>133</v>
      </c>
      <c r="J44" s="4" t="s">
        <v>22</v>
      </c>
      <c r="K44" s="4" t="s">
        <v>134</v>
      </c>
      <c r="L44" s="4" t="s">
        <v>135</v>
      </c>
      <c r="M44" s="4" t="s">
        <v>136</v>
      </c>
      <c r="N44" s="4" t="s">
        <v>137</v>
      </c>
    </row>
    <row r="45" customFormat="false" ht="15" hidden="false" customHeight="false" outlineLevel="0" collapsed="false">
      <c r="J45" s="5" t="s">
        <v>138</v>
      </c>
      <c r="K45" s="17" t="s">
        <v>139</v>
      </c>
      <c r="L45" s="5" t="s">
        <v>140</v>
      </c>
      <c r="M45" s="7"/>
      <c r="N45" s="7"/>
    </row>
    <row r="46" customFormat="false" ht="15" hidden="false" customHeight="false" outlineLevel="0" collapsed="false">
      <c r="J46" s="5" t="s">
        <v>141</v>
      </c>
      <c r="K46" s="17" t="s">
        <v>142</v>
      </c>
      <c r="L46" s="5" t="s">
        <v>143</v>
      </c>
      <c r="M46" s="7"/>
      <c r="N46" s="7"/>
    </row>
    <row r="47" customFormat="false" ht="15" hidden="false" customHeight="false" outlineLevel="0" collapsed="false">
      <c r="C47" s="1" t="s">
        <v>7</v>
      </c>
      <c r="E47" s="1" t="s">
        <v>87</v>
      </c>
      <c r="J47" s="5" t="s">
        <v>144</v>
      </c>
      <c r="K47" s="17" t="s">
        <v>145</v>
      </c>
      <c r="L47" s="5" t="s">
        <v>146</v>
      </c>
      <c r="M47" s="7"/>
      <c r="N47" s="7"/>
    </row>
    <row r="48" customFormat="false" ht="15" hidden="false" customHeight="false" outlineLevel="0" collapsed="false">
      <c r="C48" s="1" t="s">
        <v>147</v>
      </c>
      <c r="J48" s="5" t="s">
        <v>148</v>
      </c>
      <c r="K48" s="17" t="s">
        <v>149</v>
      </c>
      <c r="L48" s="5" t="s">
        <v>150</v>
      </c>
      <c r="M48" s="7"/>
      <c r="N48" s="7"/>
    </row>
    <row r="49" customFormat="false" ht="15" hidden="false" customHeight="false" outlineLevel="0" collapsed="false">
      <c r="E49" s="3" t="s">
        <v>13</v>
      </c>
      <c r="F49" s="3" t="s">
        <v>151</v>
      </c>
      <c r="J49" s="5" t="s">
        <v>152</v>
      </c>
      <c r="K49" s="17" t="s">
        <v>153</v>
      </c>
      <c r="L49" s="5" t="s">
        <v>154</v>
      </c>
      <c r="M49" s="7"/>
      <c r="N49" s="7"/>
    </row>
    <row r="50" customFormat="false" ht="15" hidden="false" customHeight="false" outlineLevel="0" collapsed="false">
      <c r="E50" s="3" t="s">
        <v>155</v>
      </c>
      <c r="F50" s="3" t="n">
        <f aca="false">COUNTA('P3 clips'!A2:A201)</f>
        <v>200</v>
      </c>
    </row>
    <row r="51" customFormat="false" ht="15" hidden="false" customHeight="false" outlineLevel="0" collapsed="false">
      <c r="E51" s="3" t="s">
        <v>156</v>
      </c>
      <c r="F51" s="3" t="s">
        <v>157</v>
      </c>
      <c r="L51" s="1" t="s">
        <v>158</v>
      </c>
      <c r="N51" s="16" t="str">
        <f aca="false">IF(COUNTA(N45:N49)=0,"not checked yet",COUNTIF(N45:N49,"Correct")/COUNTA(N45:N49))</f>
        <v>not checked yet</v>
      </c>
    </row>
    <row r="52" customFormat="false" ht="15" hidden="false" customHeight="true" outlineLevel="0" collapsed="false">
      <c r="L52" s="15" t="s">
        <v>159</v>
      </c>
      <c r="M52" s="15"/>
      <c r="N52" s="15"/>
    </row>
    <row r="53" customFormat="false" ht="48" hidden="false" customHeight="true" outlineLevel="0" collapsed="false">
      <c r="D53" s="4" t="s">
        <v>27</v>
      </c>
      <c r="E53" s="4" t="s">
        <v>160</v>
      </c>
      <c r="F53" s="4" t="s">
        <v>161</v>
      </c>
      <c r="G53" s="4" t="s">
        <v>162</v>
      </c>
      <c r="H53" s="4" t="s">
        <v>163</v>
      </c>
    </row>
    <row r="54" customFormat="false" ht="15" hidden="false" customHeight="false" outlineLevel="0" collapsed="false">
      <c r="C54" s="11" t="s">
        <v>36</v>
      </c>
      <c r="D54" s="11" t="s">
        <v>164</v>
      </c>
      <c r="E54" s="12" t="n">
        <f aca="false">1-SUM('P3 clips'!E2:E201)/SUM('P3 clips'!C2:C201)</f>
        <v>0.921432123321731</v>
      </c>
      <c r="F54" s="13" t="n">
        <v>2.89</v>
      </c>
      <c r="G54" s="12" t="n">
        <f aca="false">COUNTIF('P3 clips'!E2:E201,0)/COUNT('P3 clips'!E2:E201)</f>
        <v>0.59</v>
      </c>
      <c r="H54" s="18" t="n">
        <v>241.7</v>
      </c>
    </row>
    <row r="55" customFormat="false" ht="15" hidden="false" customHeight="false" outlineLevel="0" collapsed="false">
      <c r="C55" s="5" t="s">
        <v>41</v>
      </c>
      <c r="D55" s="5" t="s">
        <v>165</v>
      </c>
      <c r="E55" s="8" t="n">
        <f aca="false">1-SUM('P3 clips'!G2:G201)/SUM('P3 clips'!C2:C201)</f>
        <v>0.837891596220786</v>
      </c>
      <c r="F55" s="9" t="n">
        <v>0.94</v>
      </c>
      <c r="G55" s="8" t="n">
        <f aca="false">COUNTIF('P3 clips'!G2:G201,0)/COUNT('P3 clips'!G2:G201)</f>
        <v>0.32</v>
      </c>
      <c r="H55" s="19" t="n">
        <v>72.6</v>
      </c>
    </row>
    <row r="56" customFormat="false" ht="15" hidden="false" customHeight="false" outlineLevel="0" collapsed="false">
      <c r="C56" s="5" t="s">
        <v>46</v>
      </c>
      <c r="D56" s="5" t="s">
        <v>166</v>
      </c>
      <c r="E56" s="8" t="n">
        <f aca="false">1-SUM('P3 clips'!I2:I201)/SUM('P3 clips'!C2:C201)</f>
        <v>0.726504226752859</v>
      </c>
      <c r="F56" s="9" t="n">
        <v>1.16</v>
      </c>
      <c r="G56" s="8" t="n">
        <f aca="false">COUNTIF('P3 clips'!I2:I201,0)/COUNT('P3 clips'!I2:I201)</f>
        <v>0.085</v>
      </c>
      <c r="H56" s="19" t="n">
        <v>319.1</v>
      </c>
    </row>
    <row r="57" customFormat="false" ht="43.5" hidden="false" customHeight="true" outlineLevel="0" collapsed="false">
      <c r="D57" s="15" t="s">
        <v>167</v>
      </c>
      <c r="E57" s="15"/>
      <c r="F57" s="15"/>
      <c r="G57" s="15"/>
      <c r="H57" s="15"/>
    </row>
    <row r="59" customFormat="false" ht="15" hidden="false" customHeight="false" outlineLevel="0" collapsed="false">
      <c r="E59" s="1" t="s">
        <v>131</v>
      </c>
    </row>
    <row r="60" customFormat="false" ht="15" hidden="false" customHeight="false" outlineLevel="0" collapsed="false">
      <c r="E60" s="3" t="s">
        <v>168</v>
      </c>
    </row>
  </sheetData>
  <mergeCells count="5">
    <mergeCell ref="D21:H21"/>
    <mergeCell ref="L40:N40"/>
    <mergeCell ref="D41:H41"/>
    <mergeCell ref="L52:N52"/>
    <mergeCell ref="D57:H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14"/>
  </cols>
  <sheetData>
    <row r="1" customFormat="false" ht="26.85" hidden="false" customHeight="false" outlineLevel="0" collapsed="false">
      <c r="A1" s="4" t="s">
        <v>169</v>
      </c>
      <c r="B1" s="4" t="s">
        <v>135</v>
      </c>
      <c r="C1" s="4" t="s">
        <v>170</v>
      </c>
      <c r="D1" s="4" t="s">
        <v>171</v>
      </c>
    </row>
    <row r="2" customFormat="false" ht="17.15" hidden="false" customHeight="false" outlineLevel="0" collapsed="false">
      <c r="A2" s="20" t="s">
        <v>172</v>
      </c>
      <c r="B2" s="3" t="s">
        <v>140</v>
      </c>
      <c r="C2" s="3" t="s">
        <v>140</v>
      </c>
      <c r="D2" s="3" t="str">
        <f aca="false">IF(B2=C2,"Correct","Incorrect")</f>
        <v>Correct</v>
      </c>
    </row>
    <row r="3" customFormat="false" ht="17.15" hidden="false" customHeight="false" outlineLevel="0" collapsed="false">
      <c r="A3" s="20" t="s">
        <v>173</v>
      </c>
      <c r="B3" s="3" t="s">
        <v>174</v>
      </c>
      <c r="C3" s="3" t="s">
        <v>174</v>
      </c>
      <c r="D3" s="3" t="str">
        <f aca="false">IF(B3=C3,"Correct","Incorrect")</f>
        <v>Correct</v>
      </c>
    </row>
    <row r="4" customFormat="false" ht="17.15" hidden="false" customHeight="false" outlineLevel="0" collapsed="false">
      <c r="A4" s="20" t="s">
        <v>175</v>
      </c>
      <c r="B4" s="3" t="s">
        <v>176</v>
      </c>
      <c r="C4" s="3" t="s">
        <v>176</v>
      </c>
      <c r="D4" s="3" t="str">
        <f aca="false">IF(B4=C4,"Correct","Incorrect")</f>
        <v>Correct</v>
      </c>
    </row>
    <row r="5" customFormat="false" ht="17.15" hidden="false" customHeight="false" outlineLevel="0" collapsed="false">
      <c r="A5" s="20" t="s">
        <v>177</v>
      </c>
      <c r="B5" s="3" t="s">
        <v>150</v>
      </c>
      <c r="C5" s="3" t="s">
        <v>150</v>
      </c>
      <c r="D5" s="3" t="str">
        <f aca="false">IF(B5=C5,"Correct","Incorrect")</f>
        <v>Correct</v>
      </c>
    </row>
    <row r="6" customFormat="false" ht="17.15" hidden="false" customHeight="false" outlineLevel="0" collapsed="false">
      <c r="A6" s="20" t="s">
        <v>178</v>
      </c>
      <c r="B6" s="3" t="s">
        <v>179</v>
      </c>
      <c r="C6" s="3" t="s">
        <v>179</v>
      </c>
      <c r="D6" s="3" t="str">
        <f aca="false">IF(B6=C6,"Correct","Incorrect")</f>
        <v>Correct</v>
      </c>
    </row>
    <row r="7" customFormat="false" ht="17.15" hidden="false" customHeight="false" outlineLevel="0" collapsed="false">
      <c r="A7" s="20" t="s">
        <v>180</v>
      </c>
      <c r="B7" s="3" t="s">
        <v>181</v>
      </c>
      <c r="C7" s="3" t="s">
        <v>181</v>
      </c>
      <c r="D7" s="3" t="str">
        <f aca="false">IF(B7=C7,"Correct","Incorrect")</f>
        <v>Correct</v>
      </c>
    </row>
    <row r="8" customFormat="false" ht="17.15" hidden="false" customHeight="false" outlineLevel="0" collapsed="false">
      <c r="A8" s="20" t="s">
        <v>182</v>
      </c>
      <c r="B8" s="3" t="s">
        <v>183</v>
      </c>
      <c r="C8" s="3" t="s">
        <v>183</v>
      </c>
      <c r="D8" s="3" t="str">
        <f aca="false">IF(B8=C8,"Correct","Incorrect")</f>
        <v>Correct</v>
      </c>
    </row>
    <row r="9" customFormat="false" ht="17.15" hidden="false" customHeight="false" outlineLevel="0" collapsed="false">
      <c r="A9" s="20" t="s">
        <v>184</v>
      </c>
      <c r="B9" s="3" t="s">
        <v>185</v>
      </c>
      <c r="C9" s="3" t="s">
        <v>185</v>
      </c>
      <c r="D9" s="3" t="str">
        <f aca="false">IF(B9=C9,"Correct","Incorrect")</f>
        <v>Correct</v>
      </c>
    </row>
    <row r="10" customFormat="false" ht="17.15" hidden="false" customHeight="false" outlineLevel="0" collapsed="false">
      <c r="A10" s="20" t="s">
        <v>186</v>
      </c>
      <c r="B10" s="3" t="s">
        <v>187</v>
      </c>
      <c r="C10" s="3" t="s">
        <v>187</v>
      </c>
      <c r="D10" s="3" t="str">
        <f aca="false">IF(B10=C10,"Correct","Incorrect")</f>
        <v>Correct</v>
      </c>
    </row>
    <row r="11" customFormat="false" ht="17.15" hidden="false" customHeight="false" outlineLevel="0" collapsed="false">
      <c r="A11" s="20" t="s">
        <v>188</v>
      </c>
      <c r="B11" s="3" t="s">
        <v>189</v>
      </c>
      <c r="C11" s="3" t="s">
        <v>189</v>
      </c>
      <c r="D11" s="3" t="str">
        <f aca="false">IF(B11=C11,"Correct","Incorrect")</f>
        <v>Correct</v>
      </c>
    </row>
    <row r="12" customFormat="false" ht="15" hidden="false" customHeight="false" outlineLevel="0" collapsed="false">
      <c r="A12" s="21" t="s">
        <v>190</v>
      </c>
      <c r="B12" s="3" t="s">
        <v>140</v>
      </c>
      <c r="C12" s="3" t="s">
        <v>140</v>
      </c>
      <c r="D12" s="3" t="str">
        <f aca="false">IF(B12=C12,"Correct","Incorrect")</f>
        <v>Correct</v>
      </c>
    </row>
    <row r="13" customFormat="false" ht="15" hidden="false" customHeight="false" outlineLevel="0" collapsed="false">
      <c r="A13" s="21" t="s">
        <v>191</v>
      </c>
      <c r="B13" s="3" t="s">
        <v>192</v>
      </c>
      <c r="C13" s="3" t="s">
        <v>193</v>
      </c>
      <c r="D13" s="3" t="str">
        <f aca="false">IF(B13=C13,"Correct","Incorrect")</f>
        <v>Incorrect</v>
      </c>
    </row>
    <row r="14" customFormat="false" ht="15" hidden="false" customHeight="false" outlineLevel="0" collapsed="false">
      <c r="A14" s="21" t="s">
        <v>194</v>
      </c>
      <c r="B14" s="3" t="s">
        <v>195</v>
      </c>
      <c r="C14" s="3" t="s">
        <v>195</v>
      </c>
      <c r="D14" s="3" t="str">
        <f aca="false">IF(B14=C14,"Correct","Incorrect")</f>
        <v>Correct</v>
      </c>
    </row>
    <row r="15" customFormat="false" ht="17.15" hidden="false" customHeight="false" outlineLevel="0" collapsed="false">
      <c r="A15" s="20" t="s">
        <v>196</v>
      </c>
      <c r="B15" s="3" t="s">
        <v>197</v>
      </c>
      <c r="C15" s="3" t="s">
        <v>197</v>
      </c>
      <c r="D15" s="3" t="str">
        <f aca="false">IF(B15=C15,"Correct","Incorrect")</f>
        <v>Correct</v>
      </c>
    </row>
    <row r="16" customFormat="false" ht="17.15" hidden="false" customHeight="false" outlineLevel="0" collapsed="false">
      <c r="A16" s="20" t="s">
        <v>198</v>
      </c>
      <c r="B16" s="3" t="s">
        <v>197</v>
      </c>
      <c r="C16" s="3" t="s">
        <v>197</v>
      </c>
      <c r="D16" s="3" t="str">
        <f aca="false">IF(B16=C16,"Correct","Incorrect")</f>
        <v>Correct</v>
      </c>
    </row>
    <row r="17" customFormat="false" ht="17.15" hidden="false" customHeight="false" outlineLevel="0" collapsed="false">
      <c r="A17" s="20" t="s">
        <v>199</v>
      </c>
      <c r="B17" s="3" t="s">
        <v>197</v>
      </c>
      <c r="C17" s="3" t="s">
        <v>197</v>
      </c>
      <c r="D17" s="3" t="str">
        <f aca="false">IF(B17=C17,"Correct","Incorrect")</f>
        <v>Correct</v>
      </c>
    </row>
    <row r="18" customFormat="false" ht="17.15" hidden="false" customHeight="false" outlineLevel="0" collapsed="false">
      <c r="A18" s="20" t="s">
        <v>200</v>
      </c>
      <c r="B18" s="3" t="s">
        <v>197</v>
      </c>
      <c r="C18" s="3" t="s">
        <v>197</v>
      </c>
      <c r="D18" s="3" t="str">
        <f aca="false">IF(B18=C18,"Correct","Incorrect")</f>
        <v>Correct</v>
      </c>
    </row>
    <row r="19" customFormat="false" ht="17.15" hidden="false" customHeight="false" outlineLevel="0" collapsed="false">
      <c r="A19" s="20" t="s">
        <v>201</v>
      </c>
      <c r="B19" s="3" t="s">
        <v>202</v>
      </c>
      <c r="C19" s="3" t="s">
        <v>202</v>
      </c>
      <c r="D19" s="3" t="str">
        <f aca="false">IF(B19=C19,"Correct","Incorrect")</f>
        <v>Correct</v>
      </c>
    </row>
    <row r="20" customFormat="false" ht="17.15" hidden="false" customHeight="false" outlineLevel="0" collapsed="false">
      <c r="A20" s="20" t="s">
        <v>203</v>
      </c>
      <c r="B20" s="3" t="s">
        <v>204</v>
      </c>
      <c r="C20" s="3" t="s">
        <v>204</v>
      </c>
      <c r="D20" s="3" t="str">
        <f aca="false">IF(B20=C20,"Correct","Incorrect")</f>
        <v>Correct</v>
      </c>
    </row>
    <row r="21" customFormat="false" ht="17.15" hidden="false" customHeight="false" outlineLevel="0" collapsed="false">
      <c r="A21" s="20" t="s">
        <v>205</v>
      </c>
      <c r="B21" s="3" t="s">
        <v>206</v>
      </c>
      <c r="C21" s="3" t="s">
        <v>206</v>
      </c>
      <c r="D21" s="3" t="str">
        <f aca="false">IF(B21=C21,"Correct","Incorrect")</f>
        <v>Correct</v>
      </c>
    </row>
    <row r="22" customFormat="false" ht="17.15" hidden="false" customHeight="false" outlineLevel="0" collapsed="false">
      <c r="A22" s="20" t="s">
        <v>207</v>
      </c>
      <c r="B22" s="3" t="s">
        <v>208</v>
      </c>
      <c r="C22" s="3" t="s">
        <v>208</v>
      </c>
      <c r="D22" s="3" t="str">
        <f aca="false">IF(B22=C22,"Correct","Incorrect")</f>
        <v>Correct</v>
      </c>
    </row>
    <row r="23" customFormat="false" ht="17.15" hidden="false" customHeight="false" outlineLevel="0" collapsed="false">
      <c r="A23" s="20" t="s">
        <v>209</v>
      </c>
      <c r="B23" s="3" t="s">
        <v>185</v>
      </c>
      <c r="C23" s="3" t="s">
        <v>185</v>
      </c>
      <c r="D23" s="3" t="str">
        <f aca="false">IF(B23=C23,"Correct","Incorrect")</f>
        <v>Correct</v>
      </c>
    </row>
    <row r="24" customFormat="false" ht="17.15" hidden="false" customHeight="false" outlineLevel="0" collapsed="false">
      <c r="A24" s="20" t="s">
        <v>210</v>
      </c>
      <c r="B24" s="3" t="s">
        <v>211</v>
      </c>
      <c r="C24" s="3" t="s">
        <v>211</v>
      </c>
      <c r="D24" s="3" t="str">
        <f aca="false">IF(B24=C24,"Correct","Incorrect")</f>
        <v>Correct</v>
      </c>
    </row>
    <row r="25" customFormat="false" ht="17.15" hidden="false" customHeight="false" outlineLevel="0" collapsed="false">
      <c r="A25" s="20" t="s">
        <v>212</v>
      </c>
      <c r="B25" s="3" t="s">
        <v>213</v>
      </c>
      <c r="C25" s="3" t="s">
        <v>213</v>
      </c>
      <c r="D25" s="3" t="str">
        <f aca="false">IF(B25=C25,"Correct","Incorrect")</f>
        <v>Correct</v>
      </c>
    </row>
    <row r="26" customFormat="false" ht="17.15" hidden="false" customHeight="false" outlineLevel="0" collapsed="false">
      <c r="A26" s="20" t="s">
        <v>214</v>
      </c>
      <c r="B26" s="3" t="s">
        <v>146</v>
      </c>
      <c r="C26" s="3" t="s">
        <v>146</v>
      </c>
      <c r="D26" s="3" t="str">
        <f aca="false">IF(B26=C26,"Correct","Incorrect")</f>
        <v>Correct</v>
      </c>
    </row>
    <row r="27" customFormat="false" ht="17.15" hidden="false" customHeight="false" outlineLevel="0" collapsed="false">
      <c r="A27" s="20" t="s">
        <v>215</v>
      </c>
      <c r="B27" s="3" t="s">
        <v>216</v>
      </c>
      <c r="C27" s="3" t="s">
        <v>216</v>
      </c>
      <c r="D27" s="3" t="str">
        <f aca="false">IF(B27=C27,"Correct","Incorrect")</f>
        <v>Correct</v>
      </c>
    </row>
    <row r="28" customFormat="false" ht="17.15" hidden="false" customHeight="false" outlineLevel="0" collapsed="false">
      <c r="A28" s="20" t="s">
        <v>217</v>
      </c>
      <c r="B28" s="3" t="s">
        <v>140</v>
      </c>
      <c r="C28" s="3" t="s">
        <v>140</v>
      </c>
      <c r="D28" s="3" t="str">
        <f aca="false">IF(B28=C28,"Correct","Incorrect")</f>
        <v>Correct</v>
      </c>
    </row>
    <row r="29" customFormat="false" ht="17.15" hidden="false" customHeight="false" outlineLevel="0" collapsed="false">
      <c r="A29" s="20" t="s">
        <v>218</v>
      </c>
      <c r="B29" s="3" t="s">
        <v>189</v>
      </c>
      <c r="C29" s="3" t="s">
        <v>189</v>
      </c>
      <c r="D29" s="3" t="str">
        <f aca="false">IF(B29=C29,"Correct","Incorrect")</f>
        <v>Correct</v>
      </c>
    </row>
    <row r="30" customFormat="false" ht="17.15" hidden="false" customHeight="false" outlineLevel="0" collapsed="false">
      <c r="A30" s="20" t="s">
        <v>219</v>
      </c>
      <c r="B30" s="3" t="s">
        <v>220</v>
      </c>
      <c r="C30" s="3" t="s">
        <v>220</v>
      </c>
      <c r="D30" s="3" t="str">
        <f aca="false">IF(B30=C30,"Correct","Incorrect")</f>
        <v>Correct</v>
      </c>
    </row>
    <row r="31" customFormat="false" ht="17.15" hidden="false" customHeight="false" outlineLevel="0" collapsed="false">
      <c r="A31" s="20" t="s">
        <v>221</v>
      </c>
      <c r="B31" s="3" t="s">
        <v>150</v>
      </c>
      <c r="C31" s="3" t="s">
        <v>150</v>
      </c>
      <c r="D31" s="3" t="str">
        <f aca="false">IF(B31=C31,"Correct","Incorrect")</f>
        <v>Correct</v>
      </c>
    </row>
    <row r="32" customFormat="false" ht="17.15" hidden="false" customHeight="false" outlineLevel="0" collapsed="false">
      <c r="A32" s="20" t="s">
        <v>222</v>
      </c>
      <c r="B32" s="3" t="s">
        <v>179</v>
      </c>
      <c r="C32" s="3" t="s">
        <v>179</v>
      </c>
      <c r="D32" s="3" t="str">
        <f aca="false">IF(B32=C32,"Correct","Incorrect")</f>
        <v>Correct</v>
      </c>
    </row>
    <row r="33" customFormat="false" ht="17.15" hidden="false" customHeight="false" outlineLevel="0" collapsed="false">
      <c r="A33" s="20" t="s">
        <v>223</v>
      </c>
      <c r="B33" s="3" t="s">
        <v>174</v>
      </c>
      <c r="C33" s="3" t="s">
        <v>174</v>
      </c>
      <c r="D33" s="3" t="str">
        <f aca="false">IF(B33=C33,"Correct","Incorrect")</f>
        <v>Correct</v>
      </c>
    </row>
    <row r="34" customFormat="false" ht="17.15" hidden="false" customHeight="false" outlineLevel="0" collapsed="false">
      <c r="A34" s="20" t="s">
        <v>224</v>
      </c>
      <c r="B34" s="3" t="s">
        <v>187</v>
      </c>
      <c r="C34" s="3" t="s">
        <v>187</v>
      </c>
      <c r="D34" s="3" t="str">
        <f aca="false">IF(B34=C34,"Correct","Incorrect")</f>
        <v>Correct</v>
      </c>
    </row>
    <row r="35" customFormat="false" ht="17.15" hidden="false" customHeight="false" outlineLevel="0" collapsed="false">
      <c r="A35" s="20" t="s">
        <v>225</v>
      </c>
      <c r="B35" s="3" t="s">
        <v>185</v>
      </c>
      <c r="C35" s="3" t="s">
        <v>185</v>
      </c>
      <c r="D35" s="3" t="str">
        <f aca="false">IF(B35=C35,"Correct","Incorrect")</f>
        <v>Correct</v>
      </c>
    </row>
    <row r="36" customFormat="false" ht="17.15" hidden="false" customHeight="false" outlineLevel="0" collapsed="false">
      <c r="A36" s="20" t="s">
        <v>226</v>
      </c>
      <c r="B36" s="3" t="s">
        <v>195</v>
      </c>
      <c r="C36" s="3" t="s">
        <v>195</v>
      </c>
      <c r="D36" s="3" t="str">
        <f aca="false">IF(B36=C36,"Correct","Incorrect")</f>
        <v>Correct</v>
      </c>
    </row>
    <row r="37" customFormat="false" ht="15" hidden="false" customHeight="false" outlineLevel="0" collapsed="false">
      <c r="A37" s="21" t="s">
        <v>227</v>
      </c>
      <c r="B37" s="3" t="s">
        <v>220</v>
      </c>
      <c r="C37" s="3" t="s">
        <v>220</v>
      </c>
      <c r="D37" s="3" t="str">
        <f aca="false">IF(B37=C37,"Correct","Incorrect")</f>
        <v>Correct</v>
      </c>
    </row>
    <row r="38" customFormat="false" ht="15" hidden="false" customHeight="false" outlineLevel="0" collapsed="false">
      <c r="A38" s="21" t="s">
        <v>228</v>
      </c>
      <c r="B38" s="3" t="s">
        <v>183</v>
      </c>
      <c r="C38" s="3" t="s">
        <v>183</v>
      </c>
      <c r="D38" s="3" t="str">
        <f aca="false">IF(B38=C38,"Correct","Incorrect")</f>
        <v>Correct</v>
      </c>
    </row>
    <row r="39" customFormat="false" ht="15" hidden="false" customHeight="false" outlineLevel="0" collapsed="false">
      <c r="A39" s="21" t="s">
        <v>229</v>
      </c>
      <c r="B39" s="3" t="s">
        <v>176</v>
      </c>
      <c r="C39" s="3" t="s">
        <v>176</v>
      </c>
      <c r="D39" s="3" t="str">
        <f aca="false">IF(B39=C39,"Correct","Incorrect")</f>
        <v>Correct</v>
      </c>
    </row>
    <row r="40" customFormat="false" ht="15" hidden="false" customHeight="false" outlineLevel="0" collapsed="false">
      <c r="A40" s="21" t="s">
        <v>230</v>
      </c>
      <c r="B40" s="3" t="s">
        <v>197</v>
      </c>
      <c r="C40" s="3" t="s">
        <v>197</v>
      </c>
      <c r="D40" s="3" t="str">
        <f aca="false">IF(B40=C40,"Correct","Incorrect")</f>
        <v>Correct</v>
      </c>
    </row>
    <row r="41" customFormat="false" ht="15" hidden="false" customHeight="false" outlineLevel="0" collapsed="false">
      <c r="A41" s="21" t="s">
        <v>231</v>
      </c>
      <c r="B41" s="3" t="s">
        <v>197</v>
      </c>
      <c r="C41" s="3" t="s">
        <v>197</v>
      </c>
      <c r="D41" s="3" t="str">
        <f aca="false">IF(B41=C41,"Correct","Incorrect")</f>
        <v>Correct</v>
      </c>
    </row>
    <row r="42" customFormat="false" ht="17.15" hidden="false" customHeight="false" outlineLevel="0" collapsed="false">
      <c r="A42" s="20" t="s">
        <v>232</v>
      </c>
      <c r="B42" s="3" t="s">
        <v>187</v>
      </c>
      <c r="C42" s="3" t="s">
        <v>187</v>
      </c>
      <c r="D42" s="3" t="str">
        <f aca="false">IF(B42=C42,"Correct","Incorrect")</f>
        <v>Correct</v>
      </c>
    </row>
    <row r="43" customFormat="false" ht="17.15" hidden="false" customHeight="false" outlineLevel="0" collapsed="false">
      <c r="A43" s="20" t="s">
        <v>233</v>
      </c>
      <c r="B43" s="3" t="s">
        <v>234</v>
      </c>
      <c r="C43" s="3" t="s">
        <v>234</v>
      </c>
      <c r="D43" s="3" t="str">
        <f aca="false">IF(B43=C43,"Correct","Incorrect")</f>
        <v>Correct</v>
      </c>
    </row>
    <row r="44" customFormat="false" ht="17.15" hidden="false" customHeight="false" outlineLevel="0" collapsed="false">
      <c r="A44" s="20" t="s">
        <v>235</v>
      </c>
      <c r="B44" s="3" t="s">
        <v>179</v>
      </c>
      <c r="C44" s="3" t="s">
        <v>179</v>
      </c>
      <c r="D44" s="3" t="str">
        <f aca="false">IF(B44=C44,"Correct","Incorrect")</f>
        <v>Correct</v>
      </c>
    </row>
    <row r="45" customFormat="false" ht="17.15" hidden="false" customHeight="false" outlineLevel="0" collapsed="false">
      <c r="A45" s="20" t="s">
        <v>236</v>
      </c>
      <c r="B45" s="3" t="s">
        <v>220</v>
      </c>
      <c r="C45" s="3" t="s">
        <v>220</v>
      </c>
      <c r="D45" s="3" t="str">
        <f aca="false">IF(B45=C45,"Correct","Incorrect")</f>
        <v>Correct</v>
      </c>
    </row>
    <row r="46" customFormat="false" ht="17.15" hidden="false" customHeight="false" outlineLevel="0" collapsed="false">
      <c r="A46" s="20" t="s">
        <v>237</v>
      </c>
      <c r="B46" s="3" t="s">
        <v>234</v>
      </c>
      <c r="C46" s="3" t="s">
        <v>234</v>
      </c>
      <c r="D46" s="3" t="str">
        <f aca="false">IF(B46=C46,"Correct","Incorrect")</f>
        <v>Correct</v>
      </c>
    </row>
    <row r="47" customFormat="false" ht="17.15" hidden="false" customHeight="false" outlineLevel="0" collapsed="false">
      <c r="A47" s="20" t="s">
        <v>238</v>
      </c>
      <c r="B47" s="3" t="s">
        <v>239</v>
      </c>
      <c r="C47" s="3" t="s">
        <v>239</v>
      </c>
      <c r="D47" s="3" t="str">
        <f aca="false">IF(B47=C47,"Correct","Incorrect")</f>
        <v>Correct</v>
      </c>
    </row>
    <row r="48" customFormat="false" ht="17.15" hidden="false" customHeight="false" outlineLevel="0" collapsed="false">
      <c r="A48" s="20" t="s">
        <v>240</v>
      </c>
      <c r="B48" s="3" t="s">
        <v>241</v>
      </c>
      <c r="C48" s="3" t="s">
        <v>241</v>
      </c>
      <c r="D48" s="3" t="str">
        <f aca="false">IF(B48=C48,"Correct","Incorrect")</f>
        <v>Correct</v>
      </c>
    </row>
    <row r="49" customFormat="false" ht="17.15" hidden="false" customHeight="false" outlineLevel="0" collapsed="false">
      <c r="A49" s="20" t="s">
        <v>242</v>
      </c>
      <c r="B49" s="3" t="s">
        <v>213</v>
      </c>
      <c r="C49" s="3" t="s">
        <v>213</v>
      </c>
      <c r="D49" s="3" t="str">
        <f aca="false">IF(B49=C49,"Correct","Incorrect")</f>
        <v>Correct</v>
      </c>
    </row>
    <row r="50" customFormat="false" ht="17.15" hidden="false" customHeight="false" outlineLevel="0" collapsed="false">
      <c r="A50" s="20" t="s">
        <v>243</v>
      </c>
      <c r="B50" s="3" t="s">
        <v>140</v>
      </c>
      <c r="C50" s="3" t="s">
        <v>140</v>
      </c>
      <c r="D50" s="3" t="str">
        <f aca="false">IF(B50=C50,"Correct","Incorrect")</f>
        <v>Correct</v>
      </c>
    </row>
    <row r="51" customFormat="false" ht="17.15" hidden="false" customHeight="false" outlineLevel="0" collapsed="false">
      <c r="A51" s="20" t="s">
        <v>244</v>
      </c>
      <c r="B51" s="3" t="s">
        <v>181</v>
      </c>
      <c r="C51" s="3" t="s">
        <v>181</v>
      </c>
      <c r="D51" s="3" t="str">
        <f aca="false">IF(B51=C51,"Correct","Incorrect")</f>
        <v>Correct</v>
      </c>
    </row>
    <row r="52" customFormat="false" ht="17.15" hidden="false" customHeight="false" outlineLevel="0" collapsed="false">
      <c r="A52" s="20" t="s">
        <v>245</v>
      </c>
      <c r="B52" s="3" t="s">
        <v>183</v>
      </c>
      <c r="C52" s="3" t="s">
        <v>183</v>
      </c>
      <c r="D52" s="3" t="str">
        <f aca="false">IF(B52=C52,"Correct","Incorrect")</f>
        <v>Correct</v>
      </c>
    </row>
    <row r="53" customFormat="false" ht="17.15" hidden="false" customHeight="false" outlineLevel="0" collapsed="false">
      <c r="A53" s="20" t="s">
        <v>246</v>
      </c>
      <c r="B53" s="3" t="s">
        <v>247</v>
      </c>
      <c r="C53" s="3" t="s">
        <v>247</v>
      </c>
      <c r="D53" s="3" t="str">
        <f aca="false">IF(B53=C53,"Correct","Incorrect")</f>
        <v>Correct</v>
      </c>
    </row>
    <row r="54" customFormat="false" ht="17.15" hidden="false" customHeight="false" outlineLevel="0" collapsed="false">
      <c r="A54" s="20" t="s">
        <v>248</v>
      </c>
      <c r="B54" s="3" t="s">
        <v>179</v>
      </c>
      <c r="C54" s="3" t="s">
        <v>179</v>
      </c>
      <c r="D54" s="3" t="str">
        <f aca="false">IF(B54=C54,"Correct","Incorrect")</f>
        <v>Correct</v>
      </c>
    </row>
    <row r="55" customFormat="false" ht="17.15" hidden="false" customHeight="false" outlineLevel="0" collapsed="false">
      <c r="A55" s="20" t="s">
        <v>249</v>
      </c>
      <c r="B55" s="3" t="s">
        <v>208</v>
      </c>
      <c r="C55" s="3" t="s">
        <v>208</v>
      </c>
      <c r="D55" s="3" t="str">
        <f aca="false">IF(B55=C55,"Correct","Incorrect")</f>
        <v>Correct</v>
      </c>
    </row>
    <row r="56" customFormat="false" ht="17.15" hidden="false" customHeight="false" outlineLevel="0" collapsed="false">
      <c r="A56" s="20" t="s">
        <v>250</v>
      </c>
      <c r="B56" s="3" t="s">
        <v>197</v>
      </c>
      <c r="C56" s="3" t="s">
        <v>179</v>
      </c>
      <c r="D56" s="3" t="str">
        <f aca="false">IF(B56=C56,"Correct","Incorrect")</f>
        <v>Incorrect</v>
      </c>
    </row>
    <row r="57" customFormat="false" ht="17.15" hidden="false" customHeight="false" outlineLevel="0" collapsed="false">
      <c r="A57" s="20" t="s">
        <v>251</v>
      </c>
      <c r="B57" s="3" t="s">
        <v>197</v>
      </c>
      <c r="C57" s="3" t="s">
        <v>197</v>
      </c>
      <c r="D57" s="3" t="str">
        <f aca="false">IF(B57=C57,"Correct","Incorrect")</f>
        <v>Correct</v>
      </c>
    </row>
    <row r="58" customFormat="false" ht="17.15" hidden="false" customHeight="false" outlineLevel="0" collapsed="false">
      <c r="A58" s="20" t="s">
        <v>252</v>
      </c>
      <c r="B58" s="3" t="s">
        <v>197</v>
      </c>
      <c r="C58" s="3" t="s">
        <v>197</v>
      </c>
      <c r="D58" s="3" t="str">
        <f aca="false">IF(B58=C58,"Correct","Incorrect")</f>
        <v>Correct</v>
      </c>
    </row>
    <row r="59" customFormat="false" ht="17.15" hidden="false" customHeight="false" outlineLevel="0" collapsed="false">
      <c r="A59" s="20" t="s">
        <v>253</v>
      </c>
      <c r="B59" s="3" t="s">
        <v>197</v>
      </c>
      <c r="C59" s="3" t="s">
        <v>197</v>
      </c>
      <c r="D59" s="3" t="str">
        <f aca="false">IF(B59=C59,"Correct","Incorrect")</f>
        <v>Correct</v>
      </c>
    </row>
    <row r="60" customFormat="false" ht="17.15" hidden="false" customHeight="false" outlineLevel="0" collapsed="false">
      <c r="A60" s="20" t="s">
        <v>254</v>
      </c>
      <c r="B60" s="3" t="s">
        <v>213</v>
      </c>
      <c r="C60" s="3" t="s">
        <v>213</v>
      </c>
      <c r="D60" s="3" t="str">
        <f aca="false">IF(B60=C60,"Correct","Incorrect")</f>
        <v>Correct</v>
      </c>
    </row>
    <row r="61" customFormat="false" ht="17.15" hidden="false" customHeight="false" outlineLevel="0" collapsed="false">
      <c r="A61" s="20" t="s">
        <v>255</v>
      </c>
      <c r="B61" s="3" t="s">
        <v>150</v>
      </c>
      <c r="C61" s="3" t="s">
        <v>150</v>
      </c>
      <c r="D61" s="3" t="str">
        <f aca="false">IF(B61=C61,"Correct","Incorrect")</f>
        <v>Correct</v>
      </c>
    </row>
    <row r="62" customFormat="false" ht="17.15" hidden="false" customHeight="false" outlineLevel="0" collapsed="false">
      <c r="A62" s="20" t="s">
        <v>256</v>
      </c>
      <c r="B62" s="3" t="s">
        <v>216</v>
      </c>
      <c r="C62" s="3" t="s">
        <v>206</v>
      </c>
      <c r="D62" s="3" t="str">
        <f aca="false">IF(B62=C62,"Correct","Incorrect")</f>
        <v>Incorrect</v>
      </c>
    </row>
    <row r="63" customFormat="false" ht="17.15" hidden="false" customHeight="false" outlineLevel="0" collapsed="false">
      <c r="A63" s="20" t="s">
        <v>257</v>
      </c>
      <c r="B63" s="3" t="s">
        <v>258</v>
      </c>
      <c r="C63" s="3" t="s">
        <v>258</v>
      </c>
      <c r="D63" s="3" t="str">
        <f aca="false">IF(B63=C63,"Correct","Incorrect")</f>
        <v>Correct</v>
      </c>
    </row>
    <row r="64" customFormat="false" ht="17.15" hidden="false" customHeight="false" outlineLevel="0" collapsed="false">
      <c r="A64" s="20" t="s">
        <v>259</v>
      </c>
      <c r="B64" s="3" t="s">
        <v>260</v>
      </c>
      <c r="C64" s="3" t="s">
        <v>260</v>
      </c>
      <c r="D64" s="3" t="str">
        <f aca="false">IF(B64=C64,"Correct","Incorrect")</f>
        <v>Correct</v>
      </c>
    </row>
    <row r="65" customFormat="false" ht="17.15" hidden="false" customHeight="false" outlineLevel="0" collapsed="false">
      <c r="A65" s="20" t="s">
        <v>261</v>
      </c>
      <c r="B65" s="3" t="s">
        <v>262</v>
      </c>
      <c r="C65" s="3" t="s">
        <v>262</v>
      </c>
      <c r="D65" s="3" t="str">
        <f aca="false">IF(B65=C65,"Correct","Incorrect")</f>
        <v>Correct</v>
      </c>
    </row>
    <row r="66" customFormat="false" ht="17.15" hidden="false" customHeight="false" outlineLevel="0" collapsed="false">
      <c r="A66" s="20" t="s">
        <v>263</v>
      </c>
      <c r="B66" s="3" t="s">
        <v>264</v>
      </c>
      <c r="C66" s="3" t="s">
        <v>174</v>
      </c>
      <c r="D66" s="3" t="str">
        <f aca="false">IF(B66=C66,"Correct","Incorrect")</f>
        <v>Incorrect</v>
      </c>
    </row>
    <row r="67" customFormat="false" ht="15" hidden="false" customHeight="false" outlineLevel="0" collapsed="false">
      <c r="A67" s="21" t="s">
        <v>265</v>
      </c>
      <c r="B67" s="3" t="s">
        <v>140</v>
      </c>
      <c r="C67" s="3" t="s">
        <v>140</v>
      </c>
      <c r="D67" s="3" t="str">
        <f aca="false">IF(B67=C67,"Correct","Incorrect")</f>
        <v>Correct</v>
      </c>
    </row>
    <row r="68" customFormat="false" ht="15" hidden="false" customHeight="false" outlineLevel="0" collapsed="false">
      <c r="A68" s="21" t="s">
        <v>266</v>
      </c>
      <c r="B68" s="3" t="s">
        <v>241</v>
      </c>
      <c r="C68" s="3" t="s">
        <v>241</v>
      </c>
      <c r="D68" s="3" t="str">
        <f aca="false">IF(B68=C68,"Correct","Incorrect")</f>
        <v>Correct</v>
      </c>
    </row>
    <row r="69" customFormat="false" ht="15" hidden="false" customHeight="false" outlineLevel="0" collapsed="false">
      <c r="A69" s="21" t="s">
        <v>267</v>
      </c>
      <c r="B69" s="3" t="s">
        <v>176</v>
      </c>
      <c r="C69" s="3" t="s">
        <v>202</v>
      </c>
      <c r="D69" s="3" t="str">
        <f aca="false">IF(B69=C69,"Correct","Incorrect")</f>
        <v>Incorrect</v>
      </c>
    </row>
    <row r="70" customFormat="false" ht="17.15" hidden="false" customHeight="false" outlineLevel="0" collapsed="false">
      <c r="A70" s="20" t="s">
        <v>268</v>
      </c>
      <c r="B70" s="3" t="s">
        <v>269</v>
      </c>
      <c r="C70" s="3" t="s">
        <v>269</v>
      </c>
      <c r="D70" s="3" t="str">
        <f aca="false">IF(B70=C70,"Correct","Incorrect")</f>
        <v>Correct</v>
      </c>
    </row>
    <row r="71" customFormat="false" ht="17.15" hidden="false" customHeight="false" outlineLevel="0" collapsed="false">
      <c r="A71" s="20" t="s">
        <v>270</v>
      </c>
      <c r="B71" s="3" t="s">
        <v>271</v>
      </c>
      <c r="C71" s="3" t="s">
        <v>271</v>
      </c>
      <c r="D71" s="3" t="str">
        <f aca="false">IF(B71=C71,"Correct","Incorrect")</f>
        <v>Correct</v>
      </c>
    </row>
    <row r="72" customFormat="false" ht="17.15" hidden="false" customHeight="false" outlineLevel="0" collapsed="false">
      <c r="A72" s="20" t="s">
        <v>272</v>
      </c>
      <c r="B72" s="3" t="s">
        <v>273</v>
      </c>
      <c r="C72" s="3" t="s">
        <v>273</v>
      </c>
      <c r="D72" s="3" t="str">
        <f aca="false">IF(B72=C72,"Correct","Incorrect")</f>
        <v>Correct</v>
      </c>
    </row>
    <row r="73" customFormat="false" ht="17.15" hidden="false" customHeight="false" outlineLevel="0" collapsed="false">
      <c r="A73" s="20" t="s">
        <v>274</v>
      </c>
      <c r="B73" s="3" t="s">
        <v>197</v>
      </c>
      <c r="C73" s="3" t="s">
        <v>179</v>
      </c>
      <c r="D73" s="3" t="str">
        <f aca="false">IF(B73=C73,"Correct","Incorrect")</f>
        <v>Incorrect</v>
      </c>
    </row>
    <row r="74" customFormat="false" ht="17.15" hidden="false" customHeight="false" outlineLevel="0" collapsed="false">
      <c r="A74" s="20" t="s">
        <v>275</v>
      </c>
      <c r="B74" s="3" t="s">
        <v>208</v>
      </c>
      <c r="C74" s="3" t="s">
        <v>208</v>
      </c>
      <c r="D74" s="3" t="str">
        <f aca="false">IF(B74=C74,"Correct","Incorrect")</f>
        <v>Correct</v>
      </c>
    </row>
    <row r="75" customFormat="false" ht="17.15" hidden="false" customHeight="false" outlineLevel="0" collapsed="false">
      <c r="A75" s="20" t="s">
        <v>276</v>
      </c>
      <c r="B75" s="3" t="s">
        <v>189</v>
      </c>
      <c r="C75" s="3" t="s">
        <v>189</v>
      </c>
      <c r="D75" s="3" t="str">
        <f aca="false">IF(B75=C75,"Correct","Incorrect")</f>
        <v>Correct</v>
      </c>
    </row>
    <row r="76" customFormat="false" ht="17.15" hidden="false" customHeight="false" outlineLevel="0" collapsed="false">
      <c r="A76" s="20" t="s">
        <v>277</v>
      </c>
      <c r="B76" s="3" t="s">
        <v>213</v>
      </c>
      <c r="C76" s="3" t="s">
        <v>213</v>
      </c>
      <c r="D76" s="3" t="str">
        <f aca="false">IF(B76=C76,"Correct","Incorrect")</f>
        <v>Correct</v>
      </c>
    </row>
    <row r="77" customFormat="false" ht="17.15" hidden="false" customHeight="false" outlineLevel="0" collapsed="false">
      <c r="A77" s="20" t="s">
        <v>278</v>
      </c>
      <c r="B77" s="3" t="s">
        <v>187</v>
      </c>
      <c r="C77" s="3" t="s">
        <v>187</v>
      </c>
      <c r="D77" s="3" t="str">
        <f aca="false">IF(B77=C77,"Correct","Incorrect")</f>
        <v>Correct</v>
      </c>
    </row>
    <row r="78" customFormat="false" ht="17.15" hidden="false" customHeight="false" outlineLevel="0" collapsed="false">
      <c r="A78" s="20" t="s">
        <v>279</v>
      </c>
      <c r="B78" s="3" t="s">
        <v>174</v>
      </c>
      <c r="C78" s="3" t="s">
        <v>174</v>
      </c>
      <c r="D78" s="3" t="str">
        <f aca="false">IF(B78=C78,"Correct","Incorrect")</f>
        <v>Correct</v>
      </c>
    </row>
    <row r="79" customFormat="false" ht="17.15" hidden="false" customHeight="false" outlineLevel="0" collapsed="false">
      <c r="A79" s="20" t="s">
        <v>280</v>
      </c>
      <c r="B79" s="3" t="s">
        <v>140</v>
      </c>
      <c r="C79" s="3" t="s">
        <v>281</v>
      </c>
      <c r="D79" s="3" t="str">
        <f aca="false">IF(B79=C79,"Correct","Incorrect")</f>
        <v>Incorrect</v>
      </c>
    </row>
    <row r="80" customFormat="false" ht="17.15" hidden="false" customHeight="false" outlineLevel="0" collapsed="false">
      <c r="A80" s="20" t="s">
        <v>282</v>
      </c>
      <c r="B80" s="3" t="s">
        <v>179</v>
      </c>
      <c r="C80" s="3" t="s">
        <v>179</v>
      </c>
      <c r="D80" s="3" t="str">
        <f aca="false">IF(B80=C80,"Correct","Incorrect")</f>
        <v>Correct</v>
      </c>
    </row>
    <row r="81" customFormat="false" ht="17.15" hidden="false" customHeight="false" outlineLevel="0" collapsed="false">
      <c r="A81" s="20" t="s">
        <v>283</v>
      </c>
      <c r="B81" s="3" t="s">
        <v>150</v>
      </c>
      <c r="C81" s="3" t="s">
        <v>179</v>
      </c>
      <c r="D81" s="3" t="str">
        <f aca="false">IF(B81=C81,"Correct","Incorrect")</f>
        <v>Incorrect</v>
      </c>
    </row>
    <row r="82" customFormat="false" ht="17.15" hidden="false" customHeight="false" outlineLevel="0" collapsed="false">
      <c r="A82" s="20" t="s">
        <v>284</v>
      </c>
      <c r="B82" s="3" t="s">
        <v>285</v>
      </c>
      <c r="C82" s="3" t="s">
        <v>285</v>
      </c>
      <c r="D82" s="3" t="str">
        <f aca="false">IF(B82=C82,"Correct","Incorrect")</f>
        <v>Correct</v>
      </c>
    </row>
    <row r="83" customFormat="false" ht="17.15" hidden="false" customHeight="false" outlineLevel="0" collapsed="false">
      <c r="A83" s="20" t="s">
        <v>286</v>
      </c>
      <c r="B83" s="3" t="s">
        <v>287</v>
      </c>
      <c r="C83" s="3" t="s">
        <v>287</v>
      </c>
      <c r="D83" s="3" t="str">
        <f aca="false">IF(B83=C83,"Correct","Incorrect")</f>
        <v>Correct</v>
      </c>
    </row>
    <row r="84" customFormat="false" ht="17.15" hidden="false" customHeight="false" outlineLevel="0" collapsed="false">
      <c r="A84" s="20" t="s">
        <v>288</v>
      </c>
      <c r="B84" s="3" t="s">
        <v>197</v>
      </c>
      <c r="C84" s="3" t="s">
        <v>179</v>
      </c>
      <c r="D84" s="3" t="str">
        <f aca="false">IF(B84=C84,"Correct","Incorrect")</f>
        <v>Incorrect</v>
      </c>
    </row>
    <row r="85" customFormat="false" ht="17.15" hidden="false" customHeight="false" outlineLevel="0" collapsed="false">
      <c r="A85" s="20" t="s">
        <v>289</v>
      </c>
      <c r="B85" s="3" t="s">
        <v>197</v>
      </c>
      <c r="C85" s="3" t="s">
        <v>197</v>
      </c>
      <c r="D85" s="3" t="str">
        <f aca="false">IF(B85=C85,"Correct","Incorrect")</f>
        <v>Correct</v>
      </c>
    </row>
    <row r="86" customFormat="false" ht="17.15" hidden="false" customHeight="false" outlineLevel="0" collapsed="false">
      <c r="A86" s="20" t="s">
        <v>290</v>
      </c>
      <c r="B86" s="3" t="s">
        <v>179</v>
      </c>
      <c r="C86" s="3" t="s">
        <v>179</v>
      </c>
      <c r="D86" s="3" t="str">
        <f aca="false">IF(B86=C86,"Correct","Incorrect")</f>
        <v>Correct</v>
      </c>
    </row>
    <row r="87" customFormat="false" ht="17.15" hidden="false" customHeight="false" outlineLevel="0" collapsed="false">
      <c r="A87" s="20" t="s">
        <v>291</v>
      </c>
      <c r="B87" s="3" t="s">
        <v>197</v>
      </c>
      <c r="C87" s="3" t="s">
        <v>185</v>
      </c>
      <c r="D87" s="3" t="str">
        <f aca="false">IF(B87=C87,"Correct","Incorrect")</f>
        <v>Incorrect</v>
      </c>
    </row>
    <row r="88" customFormat="false" ht="17.15" hidden="false" customHeight="false" outlineLevel="0" collapsed="false">
      <c r="A88" s="20" t="s">
        <v>292</v>
      </c>
      <c r="B88" s="3" t="s">
        <v>197</v>
      </c>
      <c r="C88" s="3" t="s">
        <v>197</v>
      </c>
      <c r="D88" s="3" t="str">
        <f aca="false">IF(B88=C88,"Correct","Incorrect")</f>
        <v>Correct</v>
      </c>
    </row>
    <row r="89" customFormat="false" ht="17.15" hidden="false" customHeight="false" outlineLevel="0" collapsed="false">
      <c r="A89" s="20" t="s">
        <v>293</v>
      </c>
      <c r="B89" s="3" t="s">
        <v>273</v>
      </c>
      <c r="C89" s="3" t="s">
        <v>273</v>
      </c>
      <c r="D89" s="3" t="str">
        <f aca="false">IF(B89=C89,"Correct","Incorrect")</f>
        <v>Correct</v>
      </c>
    </row>
    <row r="90" customFormat="false" ht="17.15" hidden="false" customHeight="false" outlineLevel="0" collapsed="false">
      <c r="A90" s="20" t="s">
        <v>294</v>
      </c>
      <c r="B90" s="3" t="s">
        <v>195</v>
      </c>
      <c r="C90" s="3" t="s">
        <v>195</v>
      </c>
      <c r="D90" s="3" t="str">
        <f aca="false">IF(B90=C90,"Correct","Incorrect")</f>
        <v>Correct</v>
      </c>
    </row>
    <row r="91" customFormat="false" ht="17.15" hidden="false" customHeight="false" outlineLevel="0" collapsed="false">
      <c r="A91" s="20" t="s">
        <v>295</v>
      </c>
      <c r="B91" s="3" t="s">
        <v>183</v>
      </c>
      <c r="C91" s="3" t="s">
        <v>183</v>
      </c>
      <c r="D91" s="3" t="str">
        <f aca="false">IF(B91=C91,"Correct","Incorrect")</f>
        <v>Correct</v>
      </c>
    </row>
    <row r="92" customFormat="false" ht="17.15" hidden="false" customHeight="false" outlineLevel="0" collapsed="false">
      <c r="A92" s="20" t="s">
        <v>296</v>
      </c>
      <c r="B92" s="3" t="s">
        <v>185</v>
      </c>
      <c r="C92" s="3" t="s">
        <v>185</v>
      </c>
      <c r="D92" s="3" t="str">
        <f aca="false">IF(B92=C92,"Correct","Incorrect")</f>
        <v>Correct</v>
      </c>
    </row>
    <row r="93" customFormat="false" ht="17.15" hidden="false" customHeight="false" outlineLevel="0" collapsed="false">
      <c r="A93" s="20" t="s">
        <v>297</v>
      </c>
      <c r="B93" s="3" t="s">
        <v>202</v>
      </c>
      <c r="C93" s="3" t="s">
        <v>213</v>
      </c>
      <c r="D93" s="3" t="str">
        <f aca="false">IF(B93=C93,"Correct","Incorrect")</f>
        <v>Incorrect</v>
      </c>
    </row>
    <row r="94" customFormat="false" ht="17.15" hidden="false" customHeight="false" outlineLevel="0" collapsed="false">
      <c r="A94" s="20" t="s">
        <v>298</v>
      </c>
      <c r="B94" s="3" t="s">
        <v>176</v>
      </c>
      <c r="C94" s="3" t="s">
        <v>176</v>
      </c>
      <c r="D94" s="3" t="str">
        <f aca="false">IF(B94=C94,"Correct","Incorrect")</f>
        <v>Correct</v>
      </c>
    </row>
    <row r="95" customFormat="false" ht="17.15" hidden="false" customHeight="false" outlineLevel="0" collapsed="false">
      <c r="A95" s="20" t="s">
        <v>299</v>
      </c>
      <c r="B95" s="3" t="s">
        <v>241</v>
      </c>
      <c r="C95" s="3" t="s">
        <v>241</v>
      </c>
      <c r="D95" s="3" t="str">
        <f aca="false">IF(B95=C95,"Correct","Incorrect")</f>
        <v>Correct</v>
      </c>
    </row>
    <row r="96" customFormat="false" ht="17.15" hidden="false" customHeight="false" outlineLevel="0" collapsed="false">
      <c r="A96" s="20" t="s">
        <v>300</v>
      </c>
      <c r="B96" s="3" t="s">
        <v>216</v>
      </c>
      <c r="C96" s="3" t="s">
        <v>216</v>
      </c>
      <c r="D96" s="3" t="str">
        <f aca="false">IF(B96=C96,"Correct","Incorrect")</f>
        <v>Correct</v>
      </c>
    </row>
    <row r="97" customFormat="false" ht="17.15" hidden="false" customHeight="false" outlineLevel="0" collapsed="false">
      <c r="A97" s="20" t="s">
        <v>301</v>
      </c>
      <c r="B97" s="3" t="s">
        <v>185</v>
      </c>
      <c r="C97" s="3" t="s">
        <v>185</v>
      </c>
      <c r="D97" s="3" t="str">
        <f aca="false">IF(B97=C97,"Correct","Incorrect")</f>
        <v>Correct</v>
      </c>
    </row>
    <row r="98" customFormat="false" ht="17.15" hidden="false" customHeight="false" outlineLevel="0" collapsed="false">
      <c r="A98" s="20" t="s">
        <v>302</v>
      </c>
      <c r="B98" s="3" t="s">
        <v>146</v>
      </c>
      <c r="C98" s="3" t="s">
        <v>146</v>
      </c>
      <c r="D98" s="3" t="str">
        <f aca="false">IF(B98=C98,"Correct","Incorrect")</f>
        <v>Correct</v>
      </c>
    </row>
    <row r="99" customFormat="false" ht="17.15" hidden="false" customHeight="false" outlineLevel="0" collapsed="false">
      <c r="A99" s="20" t="s">
        <v>303</v>
      </c>
      <c r="B99" s="3" t="s">
        <v>197</v>
      </c>
      <c r="C99" s="3" t="s">
        <v>197</v>
      </c>
      <c r="D99" s="3" t="str">
        <f aca="false">IF(B99=C99,"Correct","Incorrect")</f>
        <v>Correct</v>
      </c>
    </row>
    <row r="100" customFormat="false" ht="15" hidden="false" customHeight="false" outlineLevel="0" collapsed="false">
      <c r="A100" s="21" t="s">
        <v>304</v>
      </c>
      <c r="B100" s="3" t="s">
        <v>239</v>
      </c>
      <c r="C100" s="3" t="s">
        <v>305</v>
      </c>
      <c r="D100" s="3" t="str">
        <f aca="false">IF(B100=C100,"Correct","Incorrect")</f>
        <v>Incorrect</v>
      </c>
    </row>
    <row r="101" customFormat="false" ht="15" hidden="false" customHeight="false" outlineLevel="0" collapsed="false">
      <c r="A101" s="21" t="s">
        <v>306</v>
      </c>
      <c r="B101" s="3" t="s">
        <v>234</v>
      </c>
      <c r="C101" s="3" t="s">
        <v>234</v>
      </c>
      <c r="D101" s="3" t="str">
        <f aca="false">IF(B101=C101,"Correct","Incorrect")</f>
        <v>Correct</v>
      </c>
    </row>
    <row r="102" customFormat="false" ht="15" hidden="false" customHeight="false" outlineLevel="0" collapsed="false">
      <c r="A102" s="21" t="s">
        <v>307</v>
      </c>
      <c r="B102" s="3" t="s">
        <v>179</v>
      </c>
      <c r="C102" s="3" t="s">
        <v>179</v>
      </c>
      <c r="D102" s="3" t="str">
        <f aca="false">IF(B102=C102,"Correct","Incorrect")</f>
        <v>Correct</v>
      </c>
    </row>
    <row r="103" customFormat="false" ht="15" hidden="false" customHeight="false" outlineLevel="0" collapsed="false">
      <c r="A103" s="21" t="s">
        <v>308</v>
      </c>
      <c r="B103" s="3" t="s">
        <v>185</v>
      </c>
      <c r="C103" s="3" t="s">
        <v>185</v>
      </c>
      <c r="D103" s="3" t="str">
        <f aca="false">IF(B103=C103,"Correct","Incorrect")</f>
        <v>Correct</v>
      </c>
    </row>
    <row r="104" customFormat="false" ht="15" hidden="false" customHeight="false" outlineLevel="0" collapsed="false">
      <c r="A104" s="21" t="s">
        <v>309</v>
      </c>
      <c r="B104" s="3" t="s">
        <v>150</v>
      </c>
      <c r="C104" s="3" t="s">
        <v>150</v>
      </c>
      <c r="D104" s="3" t="str">
        <f aca="false">IF(B104=C104,"Correct","Incorrect")</f>
        <v>Correct</v>
      </c>
    </row>
    <row r="105" customFormat="false" ht="15" hidden="false" customHeight="false" outlineLevel="0" collapsed="false">
      <c r="A105" s="21" t="s">
        <v>310</v>
      </c>
      <c r="B105" s="3" t="s">
        <v>197</v>
      </c>
      <c r="C105" s="3" t="s">
        <v>197</v>
      </c>
      <c r="D105" s="3" t="str">
        <f aca="false">IF(B105=C105,"Correct","Incorrect")</f>
        <v>Correct</v>
      </c>
    </row>
    <row r="106" customFormat="false" ht="15" hidden="false" customHeight="false" outlineLevel="0" collapsed="false">
      <c r="A106" s="21" t="s">
        <v>311</v>
      </c>
      <c r="B106" s="3" t="s">
        <v>187</v>
      </c>
      <c r="C106" s="3" t="s">
        <v>187</v>
      </c>
      <c r="D106" s="3" t="str">
        <f aca="false">IF(B106=C106,"Correct","Incorrect")</f>
        <v>Correct</v>
      </c>
    </row>
    <row r="107" customFormat="false" ht="17.15" hidden="false" customHeight="false" outlineLevel="0" collapsed="false">
      <c r="A107" s="20" t="s">
        <v>312</v>
      </c>
      <c r="B107" s="3" t="s">
        <v>183</v>
      </c>
      <c r="C107" s="3" t="s">
        <v>183</v>
      </c>
      <c r="D107" s="3" t="str">
        <f aca="false">IF(B107=C107,"Correct","Incorrect")</f>
        <v>Correct</v>
      </c>
    </row>
    <row r="108" customFormat="false" ht="17.15" hidden="false" customHeight="false" outlineLevel="0" collapsed="false">
      <c r="A108" s="20" t="s">
        <v>313</v>
      </c>
      <c r="B108" s="3" t="s">
        <v>241</v>
      </c>
      <c r="C108" s="3" t="s">
        <v>241</v>
      </c>
      <c r="D108" s="3" t="str">
        <f aca="false">IF(B108=C108,"Correct","Incorrect")</f>
        <v>Correct</v>
      </c>
    </row>
    <row r="109" customFormat="false" ht="17.15" hidden="false" customHeight="false" outlineLevel="0" collapsed="false">
      <c r="A109" s="20" t="s">
        <v>314</v>
      </c>
      <c r="B109" s="3" t="s">
        <v>285</v>
      </c>
      <c r="C109" s="3" t="s">
        <v>285</v>
      </c>
      <c r="D109" s="3" t="str">
        <f aca="false">IF(B109=C109,"Correct","Incorrect")</f>
        <v>Correct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40"/>
    <col collapsed="false" customWidth="true" hidden="false" outlineLevel="0" max="6" min="3" style="0" width="24"/>
  </cols>
  <sheetData>
    <row r="1" customFormat="false" ht="48" hidden="false" customHeight="true" outlineLevel="0" collapsed="false">
      <c r="A1" s="4" t="s">
        <v>315</v>
      </c>
      <c r="B1" s="4" t="s">
        <v>316</v>
      </c>
      <c r="C1" s="4" t="s">
        <v>317</v>
      </c>
      <c r="D1" s="4" t="s">
        <v>318</v>
      </c>
      <c r="E1" s="4" t="s">
        <v>319</v>
      </c>
      <c r="F1" s="4" t="s">
        <v>320</v>
      </c>
    </row>
    <row r="2" customFormat="false" ht="15" hidden="false" customHeight="false" outlineLevel="0" collapsed="false">
      <c r="A2" s="22" t="s">
        <v>321</v>
      </c>
      <c r="B2" s="22" t="s">
        <v>322</v>
      </c>
      <c r="C2" s="3" t="n">
        <v>1</v>
      </c>
      <c r="D2" s="3" t="n">
        <v>1</v>
      </c>
      <c r="E2" s="3" t="n">
        <v>1</v>
      </c>
      <c r="F2" s="3" t="n">
        <v>1</v>
      </c>
    </row>
    <row r="3" customFormat="false" ht="15" hidden="false" customHeight="false" outlineLevel="0" collapsed="false">
      <c r="A3" s="22" t="s">
        <v>323</v>
      </c>
      <c r="B3" s="22" t="s">
        <v>322</v>
      </c>
      <c r="C3" s="3" t="n">
        <v>2</v>
      </c>
      <c r="D3" s="3" t="n">
        <v>2</v>
      </c>
      <c r="E3" s="3" t="n">
        <v>3</v>
      </c>
      <c r="F3" s="3" t="n">
        <v>2</v>
      </c>
    </row>
    <row r="4" customFormat="false" ht="15" hidden="false" customHeight="false" outlineLevel="0" collapsed="false">
      <c r="A4" s="22" t="s">
        <v>324</v>
      </c>
      <c r="B4" s="22" t="s">
        <v>325</v>
      </c>
      <c r="C4" s="3" t="n">
        <v>3</v>
      </c>
      <c r="D4" s="3" t="n">
        <v>3</v>
      </c>
      <c r="E4" s="3" t="n">
        <v>4</v>
      </c>
      <c r="F4" s="3" t="n">
        <v>3</v>
      </c>
    </row>
    <row r="5" customFormat="false" ht="15" hidden="false" customHeight="false" outlineLevel="0" collapsed="false">
      <c r="A5" s="22" t="s">
        <v>326</v>
      </c>
      <c r="B5" s="22" t="s">
        <v>325</v>
      </c>
      <c r="C5" s="3" t="n">
        <v>1</v>
      </c>
      <c r="D5" s="3" t="n">
        <v>1</v>
      </c>
      <c r="E5" s="3" t="n">
        <v>1</v>
      </c>
      <c r="F5" s="3" t="n">
        <v>1</v>
      </c>
    </row>
    <row r="6" customFormat="false" ht="15" hidden="false" customHeight="false" outlineLevel="0" collapsed="false">
      <c r="A6" s="22" t="s">
        <v>327</v>
      </c>
      <c r="B6" s="22" t="s">
        <v>328</v>
      </c>
      <c r="C6" s="3" t="n">
        <v>6</v>
      </c>
      <c r="D6" s="3" t="n">
        <v>8</v>
      </c>
      <c r="E6" s="3" t="n">
        <v>8</v>
      </c>
      <c r="F6" s="3" t="n">
        <v>9</v>
      </c>
    </row>
    <row r="7" customFormat="false" ht="15" hidden="false" customHeight="false" outlineLevel="0" collapsed="false">
      <c r="A7" s="22" t="s">
        <v>329</v>
      </c>
      <c r="B7" s="22" t="s">
        <v>328</v>
      </c>
      <c r="C7" s="3" t="n">
        <v>1</v>
      </c>
      <c r="D7" s="3" t="n">
        <v>1</v>
      </c>
      <c r="E7" s="3" t="n">
        <v>1</v>
      </c>
      <c r="F7" s="3" t="n">
        <v>1</v>
      </c>
    </row>
    <row r="8" customFormat="false" ht="15" hidden="false" customHeight="false" outlineLevel="0" collapsed="false">
      <c r="A8" s="22" t="s">
        <v>330</v>
      </c>
      <c r="B8" s="22" t="s">
        <v>331</v>
      </c>
      <c r="C8" s="3" t="n">
        <v>1</v>
      </c>
      <c r="D8" s="3" t="n">
        <v>1</v>
      </c>
      <c r="E8" s="3" t="n">
        <v>1</v>
      </c>
      <c r="F8" s="3" t="n">
        <v>1</v>
      </c>
    </row>
    <row r="9" customFormat="false" ht="15" hidden="false" customHeight="false" outlineLevel="0" collapsed="false">
      <c r="A9" s="22" t="s">
        <v>332</v>
      </c>
      <c r="B9" s="22" t="s">
        <v>331</v>
      </c>
      <c r="C9" s="3" t="n">
        <v>2</v>
      </c>
      <c r="D9" s="3" t="n">
        <v>2</v>
      </c>
      <c r="E9" s="3" t="n">
        <v>1</v>
      </c>
      <c r="F9" s="3" t="n">
        <v>2</v>
      </c>
    </row>
    <row r="10" customFormat="false" ht="15" hidden="false" customHeight="false" outlineLevel="0" collapsed="false">
      <c r="A10" s="22" t="s">
        <v>333</v>
      </c>
      <c r="B10" s="22" t="s">
        <v>334</v>
      </c>
      <c r="C10" s="3" t="n">
        <v>1</v>
      </c>
      <c r="D10" s="3" t="n">
        <v>1</v>
      </c>
      <c r="E10" s="3" t="n">
        <v>1</v>
      </c>
      <c r="F10" s="3" t="n">
        <v>1</v>
      </c>
    </row>
    <row r="11" customFormat="false" ht="15" hidden="false" customHeight="false" outlineLevel="0" collapsed="false">
      <c r="A11" s="22" t="s">
        <v>335</v>
      </c>
      <c r="B11" s="22" t="s">
        <v>334</v>
      </c>
      <c r="C11" s="3" t="n">
        <v>1</v>
      </c>
      <c r="D11" s="3" t="n">
        <v>1</v>
      </c>
      <c r="E11" s="3" t="n">
        <v>1</v>
      </c>
      <c r="F11" s="3" t="n">
        <v>1</v>
      </c>
    </row>
    <row r="12" customFormat="false" ht="17.15" hidden="false" customHeight="false" outlineLevel="0" collapsed="false">
      <c r="A12" s="22" t="s">
        <v>336</v>
      </c>
      <c r="B12" s="3" t="s">
        <v>337</v>
      </c>
      <c r="C12" s="3" t="n">
        <v>1</v>
      </c>
      <c r="D12" s="3" t="n">
        <v>1</v>
      </c>
      <c r="E12" s="3" t="n">
        <v>1</v>
      </c>
      <c r="F12" s="3" t="n">
        <v>1</v>
      </c>
    </row>
    <row r="13" customFormat="false" ht="17.15" hidden="false" customHeight="false" outlineLevel="0" collapsed="false">
      <c r="A13" s="22" t="s">
        <v>338</v>
      </c>
      <c r="B13" s="3" t="s">
        <v>337</v>
      </c>
      <c r="C13" s="3" t="n">
        <v>1</v>
      </c>
      <c r="D13" s="3" t="n">
        <v>1</v>
      </c>
      <c r="E13" s="3" t="n">
        <v>1</v>
      </c>
      <c r="F13" s="3" t="n">
        <v>2</v>
      </c>
    </row>
    <row r="14" customFormat="false" ht="15" hidden="false" customHeight="false" outlineLevel="0" collapsed="false">
      <c r="A14" s="22" t="s">
        <v>339</v>
      </c>
      <c r="B14" s="22" t="s">
        <v>340</v>
      </c>
      <c r="C14" s="3" t="n">
        <v>1</v>
      </c>
      <c r="D14" s="3" t="n">
        <v>1</v>
      </c>
      <c r="E14" s="3" t="n">
        <v>1</v>
      </c>
      <c r="F14" s="3" t="n">
        <v>1</v>
      </c>
    </row>
    <row r="15" customFormat="false" ht="15" hidden="false" customHeight="false" outlineLevel="0" collapsed="false">
      <c r="A15" s="22" t="s">
        <v>341</v>
      </c>
      <c r="B15" s="22" t="s">
        <v>340</v>
      </c>
      <c r="C15" s="3" t="n">
        <v>1</v>
      </c>
      <c r="D15" s="3" t="n">
        <v>1</v>
      </c>
      <c r="E15" s="3" t="n">
        <v>1</v>
      </c>
      <c r="F15" s="3" t="n">
        <v>1</v>
      </c>
    </row>
    <row r="16" customFormat="false" ht="17.15" hidden="false" customHeight="false" outlineLevel="0" collapsed="false">
      <c r="A16" s="22" t="s">
        <v>342</v>
      </c>
      <c r="B16" s="22" t="s">
        <v>343</v>
      </c>
      <c r="C16" s="3" t="n">
        <v>4</v>
      </c>
      <c r="D16" s="3" t="n">
        <v>7</v>
      </c>
      <c r="E16" s="3" t="n">
        <v>8</v>
      </c>
      <c r="F16" s="3" t="n">
        <v>6</v>
      </c>
    </row>
    <row r="17" customFormat="false" ht="17.15" hidden="false" customHeight="false" outlineLevel="0" collapsed="false">
      <c r="A17" s="22" t="s">
        <v>344</v>
      </c>
      <c r="B17" s="22" t="s">
        <v>343</v>
      </c>
      <c r="C17" s="3" t="n">
        <v>1</v>
      </c>
      <c r="D17" s="3" t="n">
        <v>1</v>
      </c>
      <c r="E17" s="3" t="n">
        <v>1</v>
      </c>
      <c r="F17" s="3" t="n">
        <v>1</v>
      </c>
    </row>
    <row r="18" customFormat="false" ht="15" hidden="false" customHeight="false" outlineLevel="0" collapsed="false">
      <c r="A18" s="22" t="s">
        <v>345</v>
      </c>
      <c r="B18" s="22" t="s">
        <v>346</v>
      </c>
      <c r="C18" s="3" t="n">
        <v>1</v>
      </c>
      <c r="D18" s="3" t="n">
        <v>1</v>
      </c>
      <c r="E18" s="3" t="n">
        <v>1</v>
      </c>
      <c r="F18" s="3" t="n">
        <v>1</v>
      </c>
    </row>
    <row r="19" customFormat="false" ht="15" hidden="false" customHeight="false" outlineLevel="0" collapsed="false">
      <c r="A19" s="22" t="s">
        <v>347</v>
      </c>
      <c r="B19" s="22" t="s">
        <v>346</v>
      </c>
      <c r="C19" s="3" t="n">
        <v>1</v>
      </c>
      <c r="D19" s="3" t="n">
        <v>1</v>
      </c>
      <c r="E19" s="3" t="n">
        <v>1</v>
      </c>
      <c r="F19" s="3" t="n">
        <v>1</v>
      </c>
    </row>
    <row r="20" customFormat="false" ht="15" hidden="false" customHeight="false" outlineLevel="0" collapsed="false">
      <c r="A20" s="22" t="s">
        <v>348</v>
      </c>
      <c r="B20" s="22" t="s">
        <v>349</v>
      </c>
      <c r="C20" s="3" t="n">
        <v>1</v>
      </c>
      <c r="D20" s="3" t="n">
        <v>1</v>
      </c>
      <c r="E20" s="3" t="n">
        <v>1</v>
      </c>
      <c r="F20" s="3" t="n">
        <v>1</v>
      </c>
    </row>
    <row r="21" customFormat="false" ht="15" hidden="false" customHeight="false" outlineLevel="0" collapsed="false">
      <c r="A21" s="22" t="s">
        <v>350</v>
      </c>
      <c r="B21" s="22" t="s">
        <v>349</v>
      </c>
      <c r="C21" s="3" t="n">
        <v>1</v>
      </c>
      <c r="D21" s="3" t="n">
        <v>1</v>
      </c>
      <c r="E21" s="3" t="n">
        <v>1</v>
      </c>
      <c r="F21" s="3" t="n">
        <v>1</v>
      </c>
    </row>
    <row r="22" customFormat="false" ht="15" hidden="false" customHeight="false" outlineLevel="0" collapsed="false">
      <c r="A22" s="22" t="s">
        <v>351</v>
      </c>
      <c r="B22" s="22" t="s">
        <v>352</v>
      </c>
      <c r="C22" s="3" t="n">
        <v>1</v>
      </c>
      <c r="D22" s="3" t="n">
        <v>1</v>
      </c>
      <c r="E22" s="3" t="n">
        <v>1</v>
      </c>
      <c r="F22" s="3" t="n">
        <v>3</v>
      </c>
    </row>
    <row r="23" customFormat="false" ht="15" hidden="false" customHeight="false" outlineLevel="0" collapsed="false">
      <c r="A23" s="22" t="s">
        <v>353</v>
      </c>
      <c r="B23" s="22" t="s">
        <v>352</v>
      </c>
      <c r="C23" s="3" t="n">
        <v>1</v>
      </c>
      <c r="D23" s="3" t="n">
        <v>1</v>
      </c>
      <c r="E23" s="3" t="n">
        <v>2</v>
      </c>
      <c r="F23" s="3" t="n">
        <v>3</v>
      </c>
    </row>
    <row r="24" customFormat="false" ht="15" hidden="false" customHeight="false" outlineLevel="0" collapsed="false">
      <c r="A24" s="22" t="s">
        <v>354</v>
      </c>
      <c r="B24" s="22" t="s">
        <v>355</v>
      </c>
      <c r="C24" s="3" t="n">
        <v>12</v>
      </c>
      <c r="D24" s="3" t="n">
        <v>16</v>
      </c>
      <c r="E24" s="3" t="n">
        <v>14</v>
      </c>
      <c r="F24" s="3" t="n">
        <v>13</v>
      </c>
    </row>
    <row r="25" customFormat="false" ht="15" hidden="false" customHeight="false" outlineLevel="0" collapsed="false">
      <c r="A25" s="22" t="s">
        <v>356</v>
      </c>
      <c r="B25" s="22" t="s">
        <v>355</v>
      </c>
      <c r="C25" s="3" t="n">
        <v>1</v>
      </c>
      <c r="D25" s="3" t="n">
        <v>1</v>
      </c>
      <c r="E25" s="3" t="n">
        <v>1</v>
      </c>
      <c r="F25" s="3" t="n">
        <v>1</v>
      </c>
    </row>
    <row r="26" customFormat="false" ht="15" hidden="false" customHeight="false" outlineLevel="0" collapsed="false">
      <c r="A26" s="22" t="s">
        <v>357</v>
      </c>
      <c r="B26" s="22" t="s">
        <v>358</v>
      </c>
      <c r="C26" s="3" t="n">
        <v>2</v>
      </c>
      <c r="D26" s="3" t="n">
        <v>2</v>
      </c>
      <c r="E26" s="3" t="n">
        <v>1</v>
      </c>
      <c r="F26" s="3" t="n">
        <v>2</v>
      </c>
    </row>
    <row r="27" customFormat="false" ht="15" hidden="false" customHeight="false" outlineLevel="0" collapsed="false">
      <c r="A27" s="22" t="s">
        <v>359</v>
      </c>
      <c r="B27" s="22" t="s">
        <v>358</v>
      </c>
      <c r="C27" s="3" t="n">
        <v>3</v>
      </c>
      <c r="D27" s="3" t="n">
        <v>3</v>
      </c>
      <c r="E27" s="3" t="n">
        <v>3</v>
      </c>
      <c r="F27" s="3" t="n">
        <v>5</v>
      </c>
    </row>
    <row r="28" customFormat="false" ht="15" hidden="false" customHeight="false" outlineLevel="0" collapsed="false">
      <c r="A28" s="22" t="s">
        <v>360</v>
      </c>
      <c r="B28" s="22" t="s">
        <v>361</v>
      </c>
      <c r="C28" s="3" t="n">
        <v>1</v>
      </c>
      <c r="D28" s="3" t="n">
        <v>1</v>
      </c>
      <c r="E28" s="3" t="n">
        <v>1</v>
      </c>
      <c r="F28" s="3" t="n">
        <v>1</v>
      </c>
    </row>
    <row r="29" customFormat="false" ht="15" hidden="false" customHeight="false" outlineLevel="0" collapsed="false">
      <c r="A29" s="22" t="s">
        <v>362</v>
      </c>
      <c r="B29" s="22" t="s">
        <v>361</v>
      </c>
      <c r="C29" s="3" t="n">
        <v>2</v>
      </c>
      <c r="D29" s="3" t="n">
        <v>1</v>
      </c>
      <c r="E29" s="3" t="n">
        <v>3</v>
      </c>
      <c r="F29" s="3" t="n">
        <v>1</v>
      </c>
    </row>
    <row r="30" customFormat="false" ht="15" hidden="false" customHeight="false" outlineLevel="0" collapsed="false">
      <c r="A30" s="22" t="s">
        <v>363</v>
      </c>
      <c r="B30" s="22" t="s">
        <v>364</v>
      </c>
      <c r="C30" s="3" t="n">
        <v>1</v>
      </c>
      <c r="D30" s="3" t="n">
        <v>1</v>
      </c>
      <c r="E30" s="3" t="n">
        <v>1</v>
      </c>
      <c r="F30" s="3" t="n">
        <v>1</v>
      </c>
    </row>
    <row r="31" customFormat="false" ht="15" hidden="false" customHeight="false" outlineLevel="0" collapsed="false">
      <c r="A31" s="22" t="s">
        <v>365</v>
      </c>
      <c r="B31" s="22" t="s">
        <v>364</v>
      </c>
      <c r="C31" s="3" t="n">
        <v>1</v>
      </c>
      <c r="D31" s="3" t="n">
        <v>1</v>
      </c>
      <c r="E31" s="3" t="n">
        <v>1</v>
      </c>
      <c r="F31" s="3" t="n">
        <v>1</v>
      </c>
    </row>
    <row r="32" customFormat="false" ht="15" hidden="false" customHeight="false" outlineLevel="0" collapsed="false">
      <c r="A32" s="22" t="s">
        <v>366</v>
      </c>
      <c r="B32" s="22" t="s">
        <v>367</v>
      </c>
      <c r="C32" s="3" t="n">
        <v>1</v>
      </c>
      <c r="D32" s="3" t="n">
        <v>1</v>
      </c>
      <c r="E32" s="3" t="n">
        <v>1</v>
      </c>
      <c r="F32" s="3" t="n">
        <v>1</v>
      </c>
    </row>
    <row r="33" customFormat="false" ht="15" hidden="false" customHeight="false" outlineLevel="0" collapsed="false">
      <c r="A33" s="22" t="s">
        <v>368</v>
      </c>
      <c r="B33" s="22" t="s">
        <v>367</v>
      </c>
      <c r="C33" s="3" t="n">
        <v>2</v>
      </c>
      <c r="D33" s="3" t="n">
        <v>2</v>
      </c>
      <c r="E33" s="3" t="n">
        <v>2</v>
      </c>
      <c r="F33" s="3" t="n">
        <v>2</v>
      </c>
    </row>
    <row r="34" customFormat="false" ht="15" hidden="false" customHeight="false" outlineLevel="0" collapsed="false">
      <c r="A34" s="22" t="s">
        <v>369</v>
      </c>
      <c r="B34" s="22" t="s">
        <v>370</v>
      </c>
      <c r="C34" s="3" t="n">
        <v>1</v>
      </c>
      <c r="D34" s="3" t="n">
        <v>1</v>
      </c>
      <c r="E34" s="3" t="n">
        <v>1</v>
      </c>
      <c r="F34" s="3" t="n">
        <v>2</v>
      </c>
    </row>
    <row r="35" customFormat="false" ht="15" hidden="false" customHeight="false" outlineLevel="0" collapsed="false">
      <c r="A35" s="22" t="s">
        <v>371</v>
      </c>
      <c r="B35" s="22" t="s">
        <v>370</v>
      </c>
      <c r="C35" s="3" t="n">
        <v>6</v>
      </c>
      <c r="D35" s="3" t="n">
        <v>5</v>
      </c>
      <c r="E35" s="3" t="n">
        <v>5</v>
      </c>
      <c r="F35" s="3" t="n">
        <v>4</v>
      </c>
    </row>
    <row r="36" customFormat="false" ht="15" hidden="false" customHeight="false" outlineLevel="0" collapsed="false">
      <c r="A36" s="22" t="s">
        <v>372</v>
      </c>
      <c r="B36" s="22" t="s">
        <v>373</v>
      </c>
      <c r="C36" s="3" t="n">
        <v>1</v>
      </c>
      <c r="D36" s="3" t="n">
        <v>1</v>
      </c>
      <c r="E36" s="3" t="n">
        <v>1</v>
      </c>
      <c r="F36" s="3" t="n">
        <v>1</v>
      </c>
    </row>
    <row r="37" customFormat="false" ht="15" hidden="false" customHeight="false" outlineLevel="0" collapsed="false">
      <c r="A37" s="22" t="s">
        <v>374</v>
      </c>
      <c r="B37" s="22" t="s">
        <v>373</v>
      </c>
      <c r="C37" s="3" t="n">
        <v>1</v>
      </c>
      <c r="D37" s="3" t="n">
        <v>1</v>
      </c>
      <c r="E37" s="3" t="n">
        <v>1</v>
      </c>
      <c r="F37" s="3" t="n">
        <v>1</v>
      </c>
    </row>
    <row r="38" customFormat="false" ht="15" hidden="false" customHeight="false" outlineLevel="0" collapsed="false">
      <c r="A38" s="22" t="s">
        <v>375</v>
      </c>
      <c r="B38" s="22" t="s">
        <v>376</v>
      </c>
      <c r="C38" s="3" t="n">
        <v>1</v>
      </c>
      <c r="D38" s="3" t="n">
        <v>1</v>
      </c>
      <c r="E38" s="3" t="n">
        <v>1</v>
      </c>
      <c r="F38" s="3" t="n">
        <v>1</v>
      </c>
    </row>
    <row r="39" customFormat="false" ht="15" hidden="false" customHeight="false" outlineLevel="0" collapsed="false">
      <c r="A39" s="22" t="s">
        <v>377</v>
      </c>
      <c r="B39" s="22" t="s">
        <v>376</v>
      </c>
      <c r="C39" s="3" t="n">
        <v>1</v>
      </c>
      <c r="D39" s="3" t="n">
        <v>1</v>
      </c>
      <c r="E39" s="3" t="n">
        <v>1</v>
      </c>
      <c r="F39" s="3" t="n">
        <v>1</v>
      </c>
    </row>
    <row r="40" customFormat="false" ht="17.15" hidden="false" customHeight="false" outlineLevel="0" collapsed="false">
      <c r="A40" s="22" t="s">
        <v>378</v>
      </c>
      <c r="B40" s="22" t="s">
        <v>379</v>
      </c>
      <c r="C40" s="3" t="n">
        <v>3</v>
      </c>
      <c r="D40" s="3" t="n">
        <v>3</v>
      </c>
      <c r="E40" s="3" t="n">
        <v>2</v>
      </c>
      <c r="F40" s="3" t="n">
        <v>2</v>
      </c>
    </row>
    <row r="41" customFormat="false" ht="17.15" hidden="false" customHeight="false" outlineLevel="0" collapsed="false">
      <c r="A41" s="3" t="s">
        <v>380</v>
      </c>
      <c r="B41" s="22" t="s">
        <v>379</v>
      </c>
      <c r="C41" s="3" t="n">
        <v>1</v>
      </c>
      <c r="D41" s="3" t="n">
        <v>1</v>
      </c>
      <c r="E41" s="3" t="n">
        <v>1</v>
      </c>
      <c r="F41" s="3" t="n">
        <v>1</v>
      </c>
    </row>
    <row r="42" customFormat="false" ht="15" hidden="false" customHeight="false" outlineLevel="0" collapsed="false">
      <c r="A42" s="22" t="s">
        <v>381</v>
      </c>
      <c r="B42" s="22" t="s">
        <v>382</v>
      </c>
      <c r="C42" s="3" t="n">
        <v>1</v>
      </c>
      <c r="D42" s="3" t="n">
        <v>1</v>
      </c>
      <c r="E42" s="3" t="n">
        <v>1</v>
      </c>
      <c r="F42" s="3" t="n">
        <v>1</v>
      </c>
    </row>
    <row r="43" customFormat="false" ht="15" hidden="false" customHeight="false" outlineLevel="0" collapsed="false">
      <c r="A43" s="22" t="s">
        <v>383</v>
      </c>
      <c r="B43" s="22" t="s">
        <v>382</v>
      </c>
      <c r="C43" s="3" t="n">
        <v>1</v>
      </c>
      <c r="D43" s="3" t="n">
        <v>1</v>
      </c>
      <c r="E43" s="3" t="n">
        <v>1</v>
      </c>
      <c r="F43" s="3" t="n">
        <v>1</v>
      </c>
    </row>
    <row r="44" customFormat="false" ht="15" hidden="false" customHeight="false" outlineLevel="0" collapsed="false">
      <c r="A44" s="22" t="s">
        <v>384</v>
      </c>
      <c r="B44" s="22" t="s">
        <v>385</v>
      </c>
      <c r="C44" s="3" t="n">
        <v>1</v>
      </c>
      <c r="D44" s="3" t="n">
        <v>1</v>
      </c>
      <c r="E44" s="3" t="n">
        <v>1</v>
      </c>
      <c r="F44" s="3" t="n">
        <v>1</v>
      </c>
    </row>
    <row r="45" customFormat="false" ht="15" hidden="false" customHeight="false" outlineLevel="0" collapsed="false">
      <c r="A45" s="22" t="s">
        <v>386</v>
      </c>
      <c r="B45" s="22" t="s">
        <v>385</v>
      </c>
      <c r="C45" s="3" t="n">
        <v>1</v>
      </c>
      <c r="D45" s="3" t="n">
        <v>1</v>
      </c>
      <c r="E45" s="3" t="n">
        <v>1</v>
      </c>
      <c r="F45" s="3" t="n">
        <v>1</v>
      </c>
    </row>
    <row r="46" customFormat="false" ht="15" hidden="false" customHeight="false" outlineLevel="0" collapsed="false">
      <c r="A46" s="22" t="s">
        <v>387</v>
      </c>
      <c r="B46" s="22" t="s">
        <v>388</v>
      </c>
      <c r="C46" s="3" t="n">
        <v>9</v>
      </c>
      <c r="D46" s="3" t="n">
        <v>13</v>
      </c>
      <c r="E46" s="3" t="n">
        <v>15</v>
      </c>
      <c r="F46" s="3" t="n">
        <v>13</v>
      </c>
    </row>
    <row r="47" customFormat="false" ht="15" hidden="false" customHeight="false" outlineLevel="0" collapsed="false">
      <c r="A47" s="22" t="s">
        <v>389</v>
      </c>
      <c r="B47" s="22" t="s">
        <v>388</v>
      </c>
      <c r="C47" s="3" t="n">
        <v>1</v>
      </c>
      <c r="D47" s="3" t="n">
        <v>1</v>
      </c>
      <c r="E47" s="3" t="n">
        <v>2</v>
      </c>
      <c r="F47" s="3" t="n">
        <v>1</v>
      </c>
    </row>
    <row r="48" customFormat="false" ht="15" hidden="false" customHeight="false" outlineLevel="0" collapsed="false">
      <c r="A48" s="22" t="s">
        <v>390</v>
      </c>
      <c r="B48" s="22" t="s">
        <v>391</v>
      </c>
      <c r="C48" s="3" t="n">
        <v>1</v>
      </c>
      <c r="D48" s="3" t="n">
        <v>1</v>
      </c>
      <c r="E48" s="3" t="n">
        <v>1</v>
      </c>
      <c r="F48" s="3" t="n">
        <v>1</v>
      </c>
    </row>
    <row r="49" customFormat="false" ht="15" hidden="false" customHeight="false" outlineLevel="0" collapsed="false">
      <c r="A49" s="22" t="s">
        <v>392</v>
      </c>
      <c r="B49" s="22" t="s">
        <v>391</v>
      </c>
      <c r="C49" s="3" t="n">
        <v>1</v>
      </c>
      <c r="D49" s="3" t="n">
        <v>1</v>
      </c>
      <c r="E49" s="3" t="n">
        <v>1</v>
      </c>
      <c r="F49" s="3" t="n">
        <v>1</v>
      </c>
    </row>
    <row r="50" customFormat="false" ht="15" hidden="false" customHeight="false" outlineLevel="0" collapsed="false">
      <c r="A50" s="22" t="s">
        <v>393</v>
      </c>
      <c r="B50" s="22" t="s">
        <v>394</v>
      </c>
      <c r="C50" s="3" t="n">
        <v>1</v>
      </c>
      <c r="D50" s="3" t="n">
        <v>1</v>
      </c>
      <c r="E50" s="3" t="n">
        <v>1</v>
      </c>
      <c r="F50" s="3" t="n">
        <v>1</v>
      </c>
    </row>
    <row r="51" customFormat="false" ht="15" hidden="false" customHeight="false" outlineLevel="0" collapsed="false">
      <c r="A51" s="22" t="s">
        <v>395</v>
      </c>
      <c r="B51" s="22" t="s">
        <v>394</v>
      </c>
      <c r="C51" s="3" t="n">
        <v>1</v>
      </c>
      <c r="D51" s="3" t="n">
        <v>1</v>
      </c>
      <c r="E51" s="3" t="n">
        <v>1</v>
      </c>
      <c r="F51" s="3" t="n">
        <v>1</v>
      </c>
    </row>
    <row r="52" customFormat="false" ht="15" hidden="false" customHeight="false" outlineLevel="0" collapsed="false">
      <c r="A52" s="22" t="s">
        <v>396</v>
      </c>
      <c r="B52" s="22" t="s">
        <v>397</v>
      </c>
      <c r="C52" s="3" t="n">
        <v>1</v>
      </c>
      <c r="D52" s="3" t="n">
        <v>1</v>
      </c>
      <c r="E52" s="3" t="n">
        <v>1</v>
      </c>
      <c r="F52" s="3" t="n">
        <v>1</v>
      </c>
    </row>
    <row r="53" customFormat="false" ht="15" hidden="false" customHeight="false" outlineLevel="0" collapsed="false">
      <c r="A53" s="22" t="s">
        <v>398</v>
      </c>
      <c r="B53" s="22" t="s">
        <v>397</v>
      </c>
      <c r="C53" s="3" t="n">
        <v>1</v>
      </c>
      <c r="D53" s="3" t="n">
        <v>1</v>
      </c>
      <c r="E53" s="3" t="n">
        <v>1</v>
      </c>
      <c r="F53" s="3" t="n">
        <v>1</v>
      </c>
    </row>
    <row r="54" customFormat="false" ht="15" hidden="false" customHeight="false" outlineLevel="0" collapsed="false">
      <c r="A54" s="22" t="s">
        <v>399</v>
      </c>
      <c r="B54" s="22" t="s">
        <v>400</v>
      </c>
      <c r="C54" s="3" t="n">
        <v>1</v>
      </c>
      <c r="D54" s="3" t="n">
        <v>1</v>
      </c>
      <c r="E54" s="3" t="n">
        <v>1</v>
      </c>
      <c r="F54" s="3" t="n">
        <v>1</v>
      </c>
    </row>
    <row r="55" customFormat="false" ht="15" hidden="false" customHeight="false" outlineLevel="0" collapsed="false">
      <c r="A55" s="22" t="s">
        <v>401</v>
      </c>
      <c r="B55" s="22" t="s">
        <v>400</v>
      </c>
      <c r="C55" s="3" t="n">
        <v>1</v>
      </c>
      <c r="D55" s="3" t="n">
        <v>1</v>
      </c>
      <c r="E55" s="3" t="n">
        <v>1</v>
      </c>
      <c r="F55" s="3" t="n">
        <v>1</v>
      </c>
    </row>
    <row r="56" customFormat="false" ht="15" hidden="false" customHeight="false" outlineLevel="0" collapsed="false">
      <c r="A56" s="22" t="s">
        <v>402</v>
      </c>
      <c r="B56" s="22" t="s">
        <v>403</v>
      </c>
      <c r="C56" s="3" t="n">
        <v>1</v>
      </c>
      <c r="D56" s="3" t="n">
        <v>1</v>
      </c>
      <c r="E56" s="3" t="n">
        <v>1</v>
      </c>
      <c r="F56" s="3" t="n">
        <v>1</v>
      </c>
    </row>
    <row r="57" customFormat="false" ht="15" hidden="false" customHeight="false" outlineLevel="0" collapsed="false">
      <c r="A57" s="22" t="s">
        <v>404</v>
      </c>
      <c r="B57" s="22" t="s">
        <v>403</v>
      </c>
      <c r="C57" s="3" t="n">
        <v>3</v>
      </c>
      <c r="D57" s="3" t="n">
        <v>2</v>
      </c>
      <c r="E57" s="3" t="n">
        <v>4</v>
      </c>
      <c r="F57" s="3" t="n">
        <v>3</v>
      </c>
    </row>
    <row r="58" customFormat="false" ht="15" hidden="false" customHeight="false" outlineLevel="0" collapsed="false">
      <c r="A58" s="22" t="s">
        <v>405</v>
      </c>
      <c r="B58" s="22" t="s">
        <v>406</v>
      </c>
      <c r="C58" s="3" t="n">
        <v>7</v>
      </c>
      <c r="D58" s="3" t="n">
        <v>8</v>
      </c>
      <c r="E58" s="3" t="n">
        <v>10</v>
      </c>
      <c r="F58" s="3" t="n">
        <v>17</v>
      </c>
    </row>
    <row r="59" customFormat="false" ht="15" hidden="false" customHeight="false" outlineLevel="0" collapsed="false">
      <c r="A59" s="22" t="s">
        <v>407</v>
      </c>
      <c r="B59" s="22" t="s">
        <v>406</v>
      </c>
      <c r="C59" s="3" t="n">
        <v>1</v>
      </c>
      <c r="D59" s="3" t="n">
        <v>1</v>
      </c>
      <c r="E59" s="3" t="n">
        <v>1</v>
      </c>
      <c r="F59" s="3" t="n">
        <v>1</v>
      </c>
    </row>
    <row r="60" customFormat="false" ht="15" hidden="false" customHeight="false" outlineLevel="0" collapsed="false">
      <c r="A60" s="22" t="s">
        <v>408</v>
      </c>
      <c r="B60" s="22" t="s">
        <v>409</v>
      </c>
      <c r="C60" s="3" t="n">
        <v>1</v>
      </c>
      <c r="D60" s="3" t="n">
        <v>1</v>
      </c>
      <c r="E60" s="3" t="n">
        <v>1</v>
      </c>
      <c r="F60" s="3" t="n">
        <v>1</v>
      </c>
    </row>
    <row r="61" customFormat="false" ht="15" hidden="false" customHeight="false" outlineLevel="0" collapsed="false">
      <c r="A61" s="22" t="s">
        <v>410</v>
      </c>
      <c r="B61" s="22" t="s">
        <v>409</v>
      </c>
      <c r="C61" s="3" t="n">
        <v>1</v>
      </c>
      <c r="D61" s="3" t="n">
        <v>1</v>
      </c>
      <c r="E61" s="3" t="n">
        <v>1</v>
      </c>
      <c r="F61" s="3" t="n">
        <v>1</v>
      </c>
    </row>
    <row r="62" customFormat="false" ht="15" hidden="false" customHeight="false" outlineLevel="0" collapsed="false">
      <c r="A62" s="22" t="s">
        <v>411</v>
      </c>
      <c r="B62" s="22" t="s">
        <v>412</v>
      </c>
      <c r="C62" s="3" t="n">
        <v>1</v>
      </c>
      <c r="D62" s="3" t="n">
        <v>1</v>
      </c>
      <c r="E62" s="3" t="n">
        <v>1</v>
      </c>
      <c r="F62" s="3" t="n">
        <v>1</v>
      </c>
    </row>
    <row r="63" customFormat="false" ht="15" hidden="false" customHeight="false" outlineLevel="0" collapsed="false">
      <c r="A63" s="22" t="s">
        <v>413</v>
      </c>
      <c r="B63" s="22" t="s">
        <v>412</v>
      </c>
      <c r="C63" s="3" t="n">
        <v>1</v>
      </c>
      <c r="D63" s="3" t="n">
        <v>1</v>
      </c>
      <c r="E63" s="3" t="n">
        <v>1</v>
      </c>
      <c r="F63" s="3" t="n">
        <v>1</v>
      </c>
    </row>
    <row r="64" customFormat="false" ht="15" hidden="false" customHeight="false" outlineLevel="0" collapsed="false">
      <c r="A64" s="22" t="s">
        <v>414</v>
      </c>
      <c r="B64" s="22" t="s">
        <v>415</v>
      </c>
      <c r="C64" s="3" t="n">
        <v>1</v>
      </c>
      <c r="D64" s="3" t="n">
        <v>1</v>
      </c>
      <c r="E64" s="3" t="n">
        <v>1</v>
      </c>
      <c r="F64" s="3" t="n">
        <v>1</v>
      </c>
    </row>
    <row r="65" customFormat="false" ht="15" hidden="false" customHeight="false" outlineLevel="0" collapsed="false">
      <c r="A65" s="22" t="s">
        <v>416</v>
      </c>
      <c r="B65" s="22" t="s">
        <v>415</v>
      </c>
      <c r="C65" s="3" t="n">
        <v>1</v>
      </c>
      <c r="D65" s="3" t="n">
        <v>1</v>
      </c>
      <c r="E65" s="3" t="n">
        <v>1</v>
      </c>
      <c r="F65" s="3" t="n">
        <v>1</v>
      </c>
    </row>
    <row r="66" customFormat="false" ht="17.15" hidden="false" customHeight="false" outlineLevel="0" collapsed="false">
      <c r="A66" s="22" t="s">
        <v>417</v>
      </c>
      <c r="B66" s="22" t="s">
        <v>418</v>
      </c>
      <c r="C66" s="3" t="n">
        <v>2</v>
      </c>
      <c r="D66" s="3" t="n">
        <v>2</v>
      </c>
      <c r="E66" s="3" t="n">
        <v>5</v>
      </c>
      <c r="F66" s="3" t="n">
        <v>3</v>
      </c>
    </row>
    <row r="67" customFormat="false" ht="17.15" hidden="false" customHeight="false" outlineLevel="0" collapsed="false">
      <c r="A67" s="22" t="s">
        <v>419</v>
      </c>
      <c r="B67" s="22" t="s">
        <v>418</v>
      </c>
      <c r="C67" s="3" t="n">
        <v>3</v>
      </c>
      <c r="D67" s="3" t="n">
        <v>2</v>
      </c>
      <c r="E67" s="3" t="n">
        <v>3</v>
      </c>
      <c r="F67" s="3" t="n">
        <v>3</v>
      </c>
    </row>
    <row r="68" customFormat="false" ht="15" hidden="false" customHeight="false" outlineLevel="0" collapsed="false">
      <c r="A68" s="22" t="s">
        <v>420</v>
      </c>
      <c r="B68" s="22" t="s">
        <v>421</v>
      </c>
      <c r="C68" s="3" t="n">
        <v>1</v>
      </c>
      <c r="D68" s="3" t="n">
        <v>1</v>
      </c>
      <c r="E68" s="3" t="n">
        <v>1</v>
      </c>
      <c r="F68" s="3" t="n">
        <v>1</v>
      </c>
    </row>
    <row r="69" customFormat="false" ht="15" hidden="false" customHeight="false" outlineLevel="0" collapsed="false">
      <c r="A69" s="22" t="s">
        <v>422</v>
      </c>
      <c r="B69" s="22" t="s">
        <v>421</v>
      </c>
      <c r="C69" s="3" t="n">
        <v>18</v>
      </c>
      <c r="D69" s="3" t="n">
        <v>37</v>
      </c>
      <c r="E69" s="3" t="n">
        <v>10</v>
      </c>
      <c r="F69" s="3" t="n">
        <v>9</v>
      </c>
    </row>
    <row r="70" customFormat="false" ht="15" hidden="false" customHeight="false" outlineLevel="0" collapsed="false">
      <c r="A70" s="22" t="s">
        <v>423</v>
      </c>
      <c r="B70" s="22" t="s">
        <v>424</v>
      </c>
      <c r="C70" s="3" t="n">
        <v>1</v>
      </c>
      <c r="D70" s="3" t="n">
        <v>1</v>
      </c>
      <c r="E70" s="3" t="n">
        <v>1</v>
      </c>
      <c r="F70" s="3" t="n">
        <v>1</v>
      </c>
    </row>
    <row r="71" customFormat="false" ht="15" hidden="false" customHeight="false" outlineLevel="0" collapsed="false">
      <c r="A71" s="22" t="s">
        <v>425</v>
      </c>
      <c r="B71" s="22" t="s">
        <v>424</v>
      </c>
      <c r="C71" s="3" t="n">
        <v>1</v>
      </c>
      <c r="D71" s="3" t="n">
        <v>1</v>
      </c>
      <c r="E71" s="3" t="n">
        <v>1</v>
      </c>
      <c r="F71" s="3" t="n">
        <v>1</v>
      </c>
    </row>
    <row r="72" customFormat="false" ht="15" hidden="false" customHeight="false" outlineLevel="0" collapsed="false">
      <c r="A72" s="22" t="s">
        <v>426</v>
      </c>
      <c r="B72" s="22" t="s">
        <v>427</v>
      </c>
      <c r="C72" s="3" t="n">
        <v>2</v>
      </c>
      <c r="D72" s="3" t="n">
        <v>2</v>
      </c>
      <c r="E72" s="3" t="n">
        <v>1</v>
      </c>
      <c r="F72" s="3" t="n">
        <v>2</v>
      </c>
    </row>
    <row r="73" customFormat="false" ht="15" hidden="false" customHeight="false" outlineLevel="0" collapsed="false">
      <c r="A73" s="22" t="s">
        <v>428</v>
      </c>
      <c r="B73" s="22" t="s">
        <v>427</v>
      </c>
      <c r="C73" s="3" t="n">
        <v>1</v>
      </c>
      <c r="D73" s="3" t="n">
        <v>1</v>
      </c>
      <c r="E73" s="3" t="n">
        <v>1</v>
      </c>
      <c r="F73" s="3" t="n">
        <v>1</v>
      </c>
    </row>
    <row r="74" customFormat="false" ht="15" hidden="false" customHeight="false" outlineLevel="0" collapsed="false">
      <c r="A74" s="22" t="s">
        <v>429</v>
      </c>
      <c r="B74" s="22" t="s">
        <v>430</v>
      </c>
      <c r="C74" s="3" t="n">
        <v>1</v>
      </c>
      <c r="D74" s="3" t="n">
        <v>1</v>
      </c>
      <c r="E74" s="3" t="n">
        <v>1</v>
      </c>
      <c r="F74" s="3" t="n">
        <v>1</v>
      </c>
    </row>
    <row r="75" customFormat="false" ht="15" hidden="false" customHeight="false" outlineLevel="0" collapsed="false">
      <c r="A75" s="22" t="s">
        <v>431</v>
      </c>
      <c r="B75" s="22" t="s">
        <v>430</v>
      </c>
      <c r="C75" s="3" t="n">
        <v>1</v>
      </c>
      <c r="D75" s="3" t="n">
        <v>1</v>
      </c>
      <c r="E75" s="3" t="n">
        <v>1</v>
      </c>
      <c r="F75" s="3" t="n">
        <v>1</v>
      </c>
    </row>
    <row r="76" customFormat="false" ht="15" hidden="false" customHeight="false" outlineLevel="0" collapsed="false">
      <c r="A76" s="22" t="s">
        <v>432</v>
      </c>
      <c r="B76" s="22" t="s">
        <v>433</v>
      </c>
      <c r="C76" s="3" t="n">
        <v>1</v>
      </c>
      <c r="D76" s="3" t="n">
        <v>1</v>
      </c>
      <c r="E76" s="3" t="n">
        <v>1</v>
      </c>
      <c r="F76" s="3" t="n">
        <v>1</v>
      </c>
    </row>
    <row r="77" customFormat="false" ht="15" hidden="false" customHeight="false" outlineLevel="0" collapsed="false">
      <c r="A77" s="22" t="s">
        <v>434</v>
      </c>
      <c r="B77" s="22" t="s">
        <v>433</v>
      </c>
      <c r="C77" s="3" t="n">
        <v>1</v>
      </c>
      <c r="D77" s="3" t="n">
        <v>1</v>
      </c>
      <c r="E77" s="3" t="n">
        <v>2</v>
      </c>
      <c r="F77" s="3" t="n">
        <v>1</v>
      </c>
    </row>
    <row r="78" customFormat="false" ht="15" hidden="false" customHeight="false" outlineLevel="0" collapsed="false">
      <c r="A78" s="22" t="s">
        <v>435</v>
      </c>
      <c r="B78" s="22" t="s">
        <v>436</v>
      </c>
      <c r="C78" s="3" t="n">
        <v>1</v>
      </c>
      <c r="D78" s="3" t="n">
        <v>1</v>
      </c>
      <c r="E78" s="3" t="n">
        <v>1</v>
      </c>
      <c r="F78" s="3" t="n">
        <v>1</v>
      </c>
    </row>
    <row r="79" customFormat="false" ht="15" hidden="false" customHeight="false" outlineLevel="0" collapsed="false">
      <c r="A79" s="22" t="s">
        <v>359</v>
      </c>
      <c r="B79" s="22" t="s">
        <v>436</v>
      </c>
      <c r="C79" s="3" t="n">
        <v>14</v>
      </c>
      <c r="D79" s="3" t="n">
        <v>14</v>
      </c>
      <c r="E79" s="3" t="n">
        <v>11</v>
      </c>
      <c r="F79" s="3" t="n">
        <v>8</v>
      </c>
    </row>
    <row r="80" customFormat="false" ht="17.15" hidden="false" customHeight="false" outlineLevel="0" collapsed="false">
      <c r="A80" s="22" t="s">
        <v>437</v>
      </c>
      <c r="B80" s="22" t="s">
        <v>438</v>
      </c>
      <c r="C80" s="3" t="n">
        <v>1</v>
      </c>
      <c r="D80" s="3" t="n">
        <v>1</v>
      </c>
      <c r="E80" s="3" t="n">
        <v>1</v>
      </c>
      <c r="F80" s="3" t="n">
        <v>1</v>
      </c>
    </row>
    <row r="81" customFormat="false" ht="17.15" hidden="false" customHeight="false" outlineLevel="0" collapsed="false">
      <c r="A81" s="22" t="s">
        <v>439</v>
      </c>
      <c r="B81" s="22" t="s">
        <v>438</v>
      </c>
      <c r="C81" s="3" t="n">
        <v>1</v>
      </c>
      <c r="D81" s="3" t="n">
        <v>1</v>
      </c>
      <c r="E81" s="3" t="n">
        <v>1</v>
      </c>
      <c r="F81" s="3" t="n">
        <v>1</v>
      </c>
    </row>
    <row r="82" customFormat="false" ht="15" hidden="false" customHeight="false" outlineLevel="0" collapsed="false">
      <c r="A82" s="22" t="s">
        <v>440</v>
      </c>
      <c r="B82" s="22" t="s">
        <v>441</v>
      </c>
      <c r="C82" s="3" t="n">
        <v>1</v>
      </c>
      <c r="D82" s="3" t="n">
        <v>1</v>
      </c>
      <c r="E82" s="3" t="n">
        <v>2</v>
      </c>
      <c r="F82" s="3" t="n">
        <v>1</v>
      </c>
    </row>
    <row r="83" customFormat="false" ht="15" hidden="false" customHeight="false" outlineLevel="0" collapsed="false">
      <c r="A83" s="22" t="s">
        <v>442</v>
      </c>
      <c r="B83" s="22" t="s">
        <v>441</v>
      </c>
      <c r="C83" s="3" t="n">
        <v>1</v>
      </c>
      <c r="D83" s="3" t="n">
        <v>1</v>
      </c>
      <c r="E83" s="3" t="n">
        <v>1</v>
      </c>
      <c r="F83" s="3" t="n">
        <v>1</v>
      </c>
    </row>
    <row r="84" customFormat="false" ht="15" hidden="false" customHeight="false" outlineLevel="0" collapsed="false">
      <c r="A84" s="22" t="s">
        <v>443</v>
      </c>
      <c r="B84" s="22" t="s">
        <v>444</v>
      </c>
      <c r="C84" s="3" t="n">
        <v>8</v>
      </c>
      <c r="D84" s="3" t="n">
        <v>8</v>
      </c>
      <c r="E84" s="3" t="n">
        <v>10</v>
      </c>
      <c r="F84" s="3" t="n">
        <v>10</v>
      </c>
    </row>
    <row r="85" customFormat="false" ht="15" hidden="false" customHeight="false" outlineLevel="0" collapsed="false">
      <c r="A85" s="22" t="s">
        <v>445</v>
      </c>
      <c r="B85" s="22" t="s">
        <v>444</v>
      </c>
      <c r="C85" s="3" t="n">
        <v>1</v>
      </c>
      <c r="D85" s="3" t="n">
        <v>1</v>
      </c>
      <c r="E85" s="3" t="n">
        <v>1</v>
      </c>
      <c r="F85" s="3" t="n">
        <v>1</v>
      </c>
    </row>
    <row r="86" customFormat="false" ht="15" hidden="false" customHeight="false" outlineLevel="0" collapsed="false">
      <c r="A86" s="22" t="s">
        <v>446</v>
      </c>
      <c r="B86" s="22" t="s">
        <v>447</v>
      </c>
      <c r="C86" s="3" t="n">
        <v>2</v>
      </c>
      <c r="D86" s="3" t="n">
        <v>2</v>
      </c>
      <c r="E86" s="3" t="n">
        <v>2</v>
      </c>
      <c r="F86" s="3" t="n">
        <v>2</v>
      </c>
    </row>
    <row r="87" customFormat="false" ht="15" hidden="false" customHeight="false" outlineLevel="0" collapsed="false">
      <c r="A87" s="22" t="s">
        <v>448</v>
      </c>
      <c r="B87" s="22" t="s">
        <v>447</v>
      </c>
      <c r="C87" s="3" t="n">
        <v>3</v>
      </c>
      <c r="D87" s="3" t="n">
        <v>2</v>
      </c>
      <c r="E87" s="3" t="n">
        <v>4</v>
      </c>
      <c r="F87" s="3" t="n">
        <v>4</v>
      </c>
    </row>
    <row r="88" customFormat="false" ht="17.15" hidden="false" customHeight="false" outlineLevel="0" collapsed="false">
      <c r="A88" s="22" t="s">
        <v>449</v>
      </c>
      <c r="B88" s="22" t="s">
        <v>450</v>
      </c>
      <c r="C88" s="3" t="n">
        <v>1</v>
      </c>
      <c r="D88" s="3" t="n">
        <v>1</v>
      </c>
      <c r="E88" s="3" t="n">
        <v>1</v>
      </c>
      <c r="F88" s="3" t="n">
        <v>1</v>
      </c>
    </row>
    <row r="89" customFormat="false" ht="17.15" hidden="false" customHeight="false" outlineLevel="0" collapsed="false">
      <c r="A89" s="22" t="s">
        <v>451</v>
      </c>
      <c r="B89" s="22" t="s">
        <v>450</v>
      </c>
      <c r="C89" s="3" t="n">
        <v>1</v>
      </c>
      <c r="D89" s="3" t="n">
        <v>1</v>
      </c>
      <c r="E89" s="3" t="n">
        <v>1</v>
      </c>
      <c r="F89" s="3" t="n">
        <v>1</v>
      </c>
    </row>
    <row r="90" customFormat="false" ht="15" hidden="false" customHeight="false" outlineLevel="0" collapsed="false">
      <c r="A90" s="22" t="s">
        <v>452</v>
      </c>
      <c r="B90" s="22" t="s">
        <v>453</v>
      </c>
      <c r="C90" s="3" t="n">
        <v>1</v>
      </c>
      <c r="D90" s="3" t="n">
        <v>1</v>
      </c>
      <c r="E90" s="3" t="n">
        <v>1</v>
      </c>
      <c r="F90" s="3" t="n">
        <v>1</v>
      </c>
    </row>
    <row r="91" customFormat="false" ht="15" hidden="false" customHeight="false" outlineLevel="0" collapsed="false">
      <c r="A91" s="22" t="s">
        <v>454</v>
      </c>
      <c r="B91" s="22" t="s">
        <v>453</v>
      </c>
      <c r="C91" s="3" t="n">
        <v>1</v>
      </c>
      <c r="D91" s="3" t="n">
        <v>1</v>
      </c>
      <c r="E91" s="3" t="n">
        <v>1</v>
      </c>
      <c r="F91" s="3" t="n">
        <v>1</v>
      </c>
    </row>
    <row r="92" customFormat="false" ht="15" hidden="false" customHeight="false" outlineLevel="0" collapsed="false">
      <c r="A92" s="22" t="s">
        <v>455</v>
      </c>
      <c r="B92" s="22" t="s">
        <v>456</v>
      </c>
      <c r="C92" s="3" t="n">
        <v>9</v>
      </c>
      <c r="D92" s="3" t="n">
        <v>14</v>
      </c>
      <c r="E92" s="3" t="n">
        <v>35</v>
      </c>
      <c r="F92" s="3" t="n">
        <v>7</v>
      </c>
    </row>
    <row r="93" customFormat="false" ht="15" hidden="false" customHeight="false" outlineLevel="0" collapsed="false">
      <c r="A93" s="22" t="s">
        <v>457</v>
      </c>
      <c r="B93" s="22" t="s">
        <v>456</v>
      </c>
      <c r="C93" s="3" t="n">
        <v>1</v>
      </c>
      <c r="D93" s="3" t="n">
        <v>1</v>
      </c>
      <c r="E93" s="3" t="n">
        <v>1</v>
      </c>
      <c r="F93" s="3" t="n">
        <v>1</v>
      </c>
    </row>
    <row r="94" customFormat="false" ht="15" hidden="false" customHeight="false" outlineLevel="0" collapsed="false">
      <c r="A94" s="22" t="s">
        <v>458</v>
      </c>
      <c r="B94" s="22" t="s">
        <v>459</v>
      </c>
      <c r="C94" s="3" t="n">
        <v>1</v>
      </c>
      <c r="D94" s="3" t="n">
        <v>1</v>
      </c>
      <c r="E94" s="3" t="n">
        <v>1</v>
      </c>
      <c r="F94" s="3" t="n">
        <v>1</v>
      </c>
    </row>
    <row r="95" customFormat="false" ht="15" hidden="false" customHeight="false" outlineLevel="0" collapsed="false">
      <c r="A95" s="22" t="s">
        <v>460</v>
      </c>
      <c r="B95" s="22" t="s">
        <v>459</v>
      </c>
      <c r="C95" s="3" t="n">
        <v>1</v>
      </c>
      <c r="D95" s="3" t="n">
        <v>1</v>
      </c>
      <c r="E95" s="3" t="n">
        <v>1</v>
      </c>
      <c r="F95" s="3" t="n">
        <v>1</v>
      </c>
    </row>
    <row r="96" customFormat="false" ht="15" hidden="false" customHeight="false" outlineLevel="0" collapsed="false">
      <c r="A96" s="22" t="s">
        <v>461</v>
      </c>
      <c r="B96" s="22" t="s">
        <v>462</v>
      </c>
      <c r="C96" s="3" t="n">
        <v>2</v>
      </c>
      <c r="D96" s="3" t="n">
        <v>1</v>
      </c>
      <c r="E96" s="3" t="n">
        <v>1</v>
      </c>
      <c r="F96" s="3" t="n">
        <v>2</v>
      </c>
    </row>
    <row r="97" customFormat="false" ht="15" hidden="false" customHeight="false" outlineLevel="0" collapsed="false">
      <c r="A97" s="22" t="s">
        <v>463</v>
      </c>
      <c r="B97" s="22" t="s">
        <v>462</v>
      </c>
      <c r="C97" s="3" t="n">
        <v>3</v>
      </c>
      <c r="D97" s="3" t="n">
        <v>3</v>
      </c>
      <c r="E97" s="3" t="n">
        <v>3</v>
      </c>
      <c r="F97" s="3" t="n">
        <v>3</v>
      </c>
    </row>
    <row r="98" customFormat="false" ht="15" hidden="false" customHeight="false" outlineLevel="0" collapsed="false">
      <c r="A98" s="22" t="s">
        <v>464</v>
      </c>
      <c r="B98" s="22" t="s">
        <v>465</v>
      </c>
      <c r="C98" s="3" t="n">
        <v>1</v>
      </c>
      <c r="D98" s="3" t="n">
        <v>1</v>
      </c>
      <c r="E98" s="3" t="n">
        <v>1</v>
      </c>
      <c r="F98" s="3" t="n">
        <v>1</v>
      </c>
    </row>
    <row r="99" customFormat="false" ht="15" hidden="false" customHeight="false" outlineLevel="0" collapsed="false">
      <c r="A99" s="22" t="s">
        <v>466</v>
      </c>
      <c r="B99" s="22" t="s">
        <v>465</v>
      </c>
      <c r="C99" s="3" t="n">
        <v>1</v>
      </c>
      <c r="D99" s="3" t="n">
        <v>1</v>
      </c>
      <c r="E99" s="3" t="n">
        <v>1</v>
      </c>
      <c r="F99" s="3" t="n">
        <v>1</v>
      </c>
    </row>
    <row r="100" customFormat="false" ht="15" hidden="false" customHeight="false" outlineLevel="0" collapsed="false">
      <c r="A100" s="22" t="s">
        <v>467</v>
      </c>
      <c r="B100" s="22" t="s">
        <v>468</v>
      </c>
      <c r="C100" s="3" t="n">
        <v>3</v>
      </c>
      <c r="D100" s="3" t="n">
        <v>2</v>
      </c>
      <c r="E100" s="3" t="n">
        <v>4</v>
      </c>
      <c r="F100" s="3" t="n">
        <v>2</v>
      </c>
    </row>
    <row r="101" customFormat="false" ht="15" hidden="false" customHeight="false" outlineLevel="0" collapsed="false">
      <c r="A101" s="22" t="s">
        <v>469</v>
      </c>
      <c r="B101" s="22" t="s">
        <v>468</v>
      </c>
      <c r="C101" s="3" t="n">
        <v>1</v>
      </c>
      <c r="D101" s="3" t="n">
        <v>1</v>
      </c>
      <c r="E101" s="3" t="n">
        <v>1</v>
      </c>
      <c r="F101" s="3" t="n">
        <v>1</v>
      </c>
    </row>
    <row r="102" customFormat="false" ht="15" hidden="false" customHeight="false" outlineLevel="0" collapsed="false">
      <c r="A102" s="22" t="s">
        <v>470</v>
      </c>
      <c r="B102" s="22" t="s">
        <v>471</v>
      </c>
      <c r="C102" s="3" t="n">
        <v>1</v>
      </c>
      <c r="D102" s="3" t="n">
        <v>1</v>
      </c>
      <c r="E102" s="3" t="n">
        <v>1</v>
      </c>
      <c r="F102" s="3" t="n">
        <v>1</v>
      </c>
    </row>
    <row r="103" customFormat="false" ht="15" hidden="false" customHeight="false" outlineLevel="0" collapsed="false">
      <c r="A103" s="22" t="s">
        <v>472</v>
      </c>
      <c r="B103" s="22" t="s">
        <v>471</v>
      </c>
      <c r="C103" s="3" t="n">
        <v>1</v>
      </c>
      <c r="D103" s="3" t="n">
        <v>1</v>
      </c>
      <c r="E103" s="3" t="n">
        <v>1</v>
      </c>
      <c r="F103" s="3" t="n">
        <v>1</v>
      </c>
    </row>
    <row r="104" customFormat="false" ht="15" hidden="false" customHeight="false" outlineLevel="0" collapsed="false">
      <c r="A104" s="22" t="s">
        <v>473</v>
      </c>
      <c r="B104" s="22" t="s">
        <v>474</v>
      </c>
      <c r="C104" s="3" t="n">
        <v>1</v>
      </c>
      <c r="D104" s="3" t="n">
        <v>1</v>
      </c>
      <c r="E104" s="3" t="n">
        <v>1</v>
      </c>
      <c r="F104" s="3" t="n">
        <v>1</v>
      </c>
    </row>
    <row r="105" customFormat="false" ht="15" hidden="false" customHeight="false" outlineLevel="0" collapsed="false">
      <c r="A105" s="22" t="s">
        <v>475</v>
      </c>
      <c r="B105" s="22" t="s">
        <v>474</v>
      </c>
      <c r="C105" s="3" t="n">
        <v>3</v>
      </c>
      <c r="D105" s="3" t="n">
        <v>3</v>
      </c>
      <c r="E105" s="3" t="n">
        <v>2</v>
      </c>
      <c r="F105" s="3" t="n">
        <v>3</v>
      </c>
    </row>
    <row r="106" customFormat="false" ht="17.15" hidden="false" customHeight="false" outlineLevel="0" collapsed="false">
      <c r="A106" s="22" t="s">
        <v>476</v>
      </c>
      <c r="B106" s="22" t="s">
        <v>477</v>
      </c>
      <c r="C106" s="3" t="n">
        <v>1</v>
      </c>
      <c r="D106" s="3" t="n">
        <v>1</v>
      </c>
      <c r="E106" s="3" t="n">
        <v>1</v>
      </c>
      <c r="F106" s="3" t="n">
        <v>1</v>
      </c>
    </row>
    <row r="107" customFormat="false" ht="17.15" hidden="false" customHeight="false" outlineLevel="0" collapsed="false">
      <c r="A107" s="22" t="s">
        <v>478</v>
      </c>
      <c r="B107" s="22" t="s">
        <v>477</v>
      </c>
      <c r="C107" s="3" t="n">
        <v>2</v>
      </c>
      <c r="D107" s="3" t="n">
        <v>2</v>
      </c>
      <c r="E107" s="3" t="n">
        <v>2</v>
      </c>
      <c r="F107" s="3" t="n">
        <v>2</v>
      </c>
    </row>
    <row r="108" customFormat="false" ht="15" hidden="false" customHeight="false" outlineLevel="0" collapsed="false">
      <c r="A108" s="22" t="s">
        <v>479</v>
      </c>
      <c r="B108" s="22" t="s">
        <v>480</v>
      </c>
      <c r="C108" s="3" t="n">
        <v>1</v>
      </c>
      <c r="D108" s="3" t="n">
        <v>1</v>
      </c>
      <c r="E108" s="3" t="n">
        <v>1</v>
      </c>
      <c r="F108" s="3" t="n">
        <v>1</v>
      </c>
    </row>
    <row r="109" customFormat="false" ht="15" hidden="false" customHeight="false" outlineLevel="0" collapsed="false">
      <c r="A109" s="22" t="s">
        <v>481</v>
      </c>
      <c r="B109" s="22" t="s">
        <v>480</v>
      </c>
      <c r="C109" s="3" t="n">
        <v>2</v>
      </c>
      <c r="D109" s="3" t="n">
        <v>2</v>
      </c>
      <c r="E109" s="3" t="n">
        <v>2</v>
      </c>
      <c r="F109" s="3" t="n">
        <v>2</v>
      </c>
    </row>
    <row r="110" customFormat="false" ht="15" hidden="false" customHeight="false" outlineLevel="0" collapsed="false">
      <c r="A110" s="22" t="s">
        <v>482</v>
      </c>
      <c r="B110" s="22" t="s">
        <v>483</v>
      </c>
      <c r="C110" s="3" t="n">
        <v>1</v>
      </c>
      <c r="D110" s="3" t="n">
        <v>1</v>
      </c>
      <c r="E110" s="3" t="n">
        <v>3</v>
      </c>
      <c r="F110" s="3" t="n">
        <v>1</v>
      </c>
    </row>
    <row r="111" customFormat="false" ht="15" hidden="false" customHeight="false" outlineLevel="0" collapsed="false">
      <c r="A111" s="22" t="s">
        <v>484</v>
      </c>
      <c r="B111" s="22" t="s">
        <v>483</v>
      </c>
      <c r="C111" s="3" t="n">
        <v>1</v>
      </c>
      <c r="D111" s="3" t="n">
        <v>1</v>
      </c>
      <c r="E111" s="3" t="n">
        <v>2</v>
      </c>
      <c r="F111" s="3" t="n">
        <v>1</v>
      </c>
    </row>
    <row r="112" customFormat="false" ht="15" hidden="false" customHeight="false" outlineLevel="0" collapsed="false">
      <c r="A112" s="22" t="s">
        <v>485</v>
      </c>
      <c r="B112" s="22" t="s">
        <v>486</v>
      </c>
      <c r="C112" s="3" t="n">
        <v>1</v>
      </c>
      <c r="D112" s="3" t="n">
        <v>1</v>
      </c>
      <c r="E112" s="3" t="n">
        <v>1</v>
      </c>
      <c r="F112" s="3" t="n">
        <v>1</v>
      </c>
    </row>
    <row r="113" customFormat="false" ht="15" hidden="false" customHeight="false" outlineLevel="0" collapsed="false">
      <c r="A113" s="22" t="s">
        <v>487</v>
      </c>
      <c r="B113" s="22" t="s">
        <v>486</v>
      </c>
      <c r="C113" s="3" t="n">
        <v>3</v>
      </c>
      <c r="D113" s="3" t="n">
        <v>2</v>
      </c>
      <c r="E113" s="3" t="n">
        <v>3</v>
      </c>
      <c r="F113" s="3" t="n">
        <v>3</v>
      </c>
    </row>
    <row r="114" customFormat="false" ht="15" hidden="false" customHeight="false" outlineLevel="0" collapsed="false">
      <c r="A114" s="22" t="s">
        <v>488</v>
      </c>
      <c r="B114" s="22" t="s">
        <v>489</v>
      </c>
      <c r="C114" s="3" t="n">
        <v>1</v>
      </c>
      <c r="D114" s="3" t="n">
        <v>1</v>
      </c>
      <c r="E114" s="3" t="n">
        <v>1</v>
      </c>
      <c r="F114" s="3" t="n">
        <v>1</v>
      </c>
    </row>
    <row r="115" customFormat="false" ht="15" hidden="false" customHeight="false" outlineLevel="0" collapsed="false">
      <c r="A115" s="22" t="s">
        <v>490</v>
      </c>
      <c r="B115" s="22" t="s">
        <v>489</v>
      </c>
      <c r="C115" s="3" t="n">
        <v>1</v>
      </c>
      <c r="D115" s="3" t="n">
        <v>1</v>
      </c>
      <c r="E115" s="3" t="n">
        <v>1</v>
      </c>
      <c r="F115" s="3" t="n">
        <v>1</v>
      </c>
    </row>
    <row r="116" customFormat="false" ht="15" hidden="false" customHeight="false" outlineLevel="0" collapsed="false">
      <c r="A116" s="22" t="s">
        <v>491</v>
      </c>
      <c r="B116" s="22" t="s">
        <v>492</v>
      </c>
      <c r="C116" s="3" t="n">
        <v>1</v>
      </c>
      <c r="D116" s="3" t="n">
        <v>1</v>
      </c>
      <c r="E116" s="3" t="n">
        <v>1</v>
      </c>
      <c r="F116" s="3" t="n">
        <v>1</v>
      </c>
    </row>
    <row r="117" customFormat="false" ht="15" hidden="false" customHeight="false" outlineLevel="0" collapsed="false">
      <c r="A117" s="22" t="s">
        <v>493</v>
      </c>
      <c r="B117" s="22" t="s">
        <v>492</v>
      </c>
      <c r="C117" s="3" t="n">
        <v>1</v>
      </c>
      <c r="D117" s="3" t="n">
        <v>1</v>
      </c>
      <c r="E117" s="3" t="n">
        <v>1</v>
      </c>
      <c r="F117" s="3" t="n">
        <v>1</v>
      </c>
    </row>
    <row r="118" customFormat="false" ht="15" hidden="false" customHeight="false" outlineLevel="0" collapsed="false">
      <c r="A118" s="22" t="s">
        <v>494</v>
      </c>
      <c r="B118" s="22" t="s">
        <v>495</v>
      </c>
      <c r="C118" s="3" t="n">
        <v>1</v>
      </c>
      <c r="D118" s="3" t="n">
        <v>1</v>
      </c>
      <c r="E118" s="3" t="n">
        <v>1</v>
      </c>
      <c r="F118" s="3" t="n">
        <v>1</v>
      </c>
    </row>
    <row r="119" customFormat="false" ht="15" hidden="false" customHeight="false" outlineLevel="0" collapsed="false">
      <c r="A119" s="22" t="s">
        <v>496</v>
      </c>
      <c r="B119" s="22" t="s">
        <v>495</v>
      </c>
      <c r="C119" s="3" t="n">
        <v>1</v>
      </c>
      <c r="D119" s="3" t="n">
        <v>1</v>
      </c>
      <c r="E119" s="3" t="n">
        <v>1</v>
      </c>
      <c r="F119" s="3" t="n">
        <v>1</v>
      </c>
    </row>
    <row r="120" customFormat="false" ht="17.15" hidden="false" customHeight="false" outlineLevel="0" collapsed="false">
      <c r="A120" s="22" t="s">
        <v>497</v>
      </c>
      <c r="B120" s="22" t="s">
        <v>498</v>
      </c>
      <c r="C120" s="3" t="n">
        <v>1</v>
      </c>
      <c r="D120" s="3" t="n">
        <v>1</v>
      </c>
      <c r="E120" s="3" t="n">
        <v>1</v>
      </c>
      <c r="F120" s="3" t="n">
        <v>1</v>
      </c>
    </row>
    <row r="121" customFormat="false" ht="17.15" hidden="false" customHeight="false" outlineLevel="0" collapsed="false">
      <c r="A121" s="22" t="s">
        <v>499</v>
      </c>
      <c r="B121" s="22" t="s">
        <v>498</v>
      </c>
      <c r="C121" s="3" t="n">
        <v>1</v>
      </c>
      <c r="D121" s="3" t="n">
        <v>1</v>
      </c>
      <c r="E121" s="3" t="n">
        <v>1</v>
      </c>
      <c r="F121" s="3" t="n">
        <v>1</v>
      </c>
    </row>
    <row r="122" customFormat="false" ht="15" hidden="false" customHeight="false" outlineLevel="0" collapsed="false">
      <c r="A122" s="22" t="s">
        <v>500</v>
      </c>
      <c r="B122" s="22" t="s">
        <v>501</v>
      </c>
      <c r="C122" s="3" t="n">
        <v>2</v>
      </c>
      <c r="D122" s="3" t="n">
        <v>3</v>
      </c>
      <c r="E122" s="3" t="n">
        <v>3</v>
      </c>
      <c r="F122" s="3" t="n">
        <v>3</v>
      </c>
    </row>
    <row r="123" customFormat="false" ht="15" hidden="false" customHeight="false" outlineLevel="0" collapsed="false">
      <c r="A123" s="22" t="s">
        <v>502</v>
      </c>
      <c r="B123" s="22" t="s">
        <v>501</v>
      </c>
      <c r="C123" s="3" t="n">
        <v>1</v>
      </c>
      <c r="D123" s="3" t="n">
        <v>1</v>
      </c>
      <c r="E123" s="3" t="n">
        <v>1</v>
      </c>
      <c r="F123" s="3" t="n">
        <v>1</v>
      </c>
    </row>
    <row r="124" customFormat="false" ht="15" hidden="false" customHeight="false" outlineLevel="0" collapsed="false">
      <c r="A124" s="22" t="s">
        <v>503</v>
      </c>
      <c r="B124" s="22" t="s">
        <v>504</v>
      </c>
      <c r="C124" s="3" t="n">
        <v>4</v>
      </c>
      <c r="D124" s="3" t="n">
        <v>3</v>
      </c>
      <c r="E124" s="3" t="n">
        <v>3</v>
      </c>
      <c r="F124" s="3" t="n">
        <v>4</v>
      </c>
    </row>
    <row r="125" customFormat="false" ht="15" hidden="false" customHeight="false" outlineLevel="0" collapsed="false">
      <c r="A125" s="22" t="s">
        <v>505</v>
      </c>
      <c r="B125" s="22" t="s">
        <v>504</v>
      </c>
      <c r="C125" s="3" t="n">
        <v>1</v>
      </c>
      <c r="D125" s="3" t="n">
        <v>1</v>
      </c>
      <c r="E125" s="3" t="n">
        <v>1</v>
      </c>
      <c r="F125" s="3" t="n">
        <v>1</v>
      </c>
    </row>
    <row r="126" customFormat="false" ht="15" hidden="false" customHeight="false" outlineLevel="0" collapsed="false">
      <c r="A126" s="22" t="s">
        <v>428</v>
      </c>
      <c r="B126" s="22" t="s">
        <v>506</v>
      </c>
      <c r="C126" s="3" t="n">
        <v>2</v>
      </c>
      <c r="D126" s="3" t="n">
        <v>2</v>
      </c>
      <c r="E126" s="3" t="n">
        <v>2</v>
      </c>
      <c r="F126" s="3" t="n">
        <v>2</v>
      </c>
    </row>
    <row r="127" customFormat="false" ht="15" hidden="false" customHeight="false" outlineLevel="0" collapsed="false">
      <c r="A127" s="22" t="s">
        <v>507</v>
      </c>
      <c r="B127" s="22" t="s">
        <v>506</v>
      </c>
      <c r="C127" s="3" t="n">
        <v>2</v>
      </c>
      <c r="D127" s="3" t="n">
        <v>1</v>
      </c>
      <c r="E127" s="3" t="n">
        <v>1</v>
      </c>
      <c r="F127" s="3" t="n">
        <v>2</v>
      </c>
    </row>
    <row r="128" customFormat="false" ht="15" hidden="false" customHeight="false" outlineLevel="0" collapsed="false">
      <c r="A128" s="22" t="s">
        <v>508</v>
      </c>
      <c r="B128" s="22" t="s">
        <v>509</v>
      </c>
      <c r="C128" s="3" t="n">
        <v>11</v>
      </c>
      <c r="D128" s="3" t="n">
        <v>11</v>
      </c>
      <c r="E128" s="3" t="n">
        <v>13</v>
      </c>
      <c r="F128" s="3" t="n">
        <v>13</v>
      </c>
    </row>
    <row r="129" customFormat="false" ht="15" hidden="false" customHeight="false" outlineLevel="0" collapsed="false">
      <c r="A129" s="22" t="s">
        <v>510</v>
      </c>
      <c r="B129" s="22" t="s">
        <v>509</v>
      </c>
      <c r="C129" s="3" t="n">
        <v>20</v>
      </c>
      <c r="D129" s="3" t="n">
        <v>15</v>
      </c>
      <c r="E129" s="3" t="n">
        <v>20</v>
      </c>
      <c r="F129" s="3" t="n">
        <v>25</v>
      </c>
    </row>
    <row r="130" customFormat="false" ht="15" hidden="false" customHeight="false" outlineLevel="0" collapsed="false">
      <c r="A130" s="22" t="s">
        <v>511</v>
      </c>
      <c r="B130" s="22" t="s">
        <v>512</v>
      </c>
      <c r="C130" s="3" t="n">
        <v>3</v>
      </c>
      <c r="D130" s="3" t="n">
        <v>7</v>
      </c>
      <c r="E130" s="3" t="n">
        <v>3</v>
      </c>
      <c r="F130" s="3" t="n">
        <v>4</v>
      </c>
    </row>
    <row r="131" customFormat="false" ht="15" hidden="false" customHeight="false" outlineLevel="0" collapsed="false">
      <c r="A131" s="22" t="s">
        <v>513</v>
      </c>
      <c r="B131" s="22" t="s">
        <v>512</v>
      </c>
      <c r="C131" s="3" t="n">
        <v>2</v>
      </c>
      <c r="D131" s="3" t="n">
        <v>4</v>
      </c>
      <c r="E131" s="3" t="n">
        <v>3</v>
      </c>
      <c r="F131" s="3" t="n">
        <v>5</v>
      </c>
    </row>
    <row r="132" customFormat="false" ht="15" hidden="false" customHeight="false" outlineLevel="0" collapsed="false">
      <c r="A132" s="22" t="s">
        <v>514</v>
      </c>
      <c r="B132" s="22" t="s">
        <v>515</v>
      </c>
      <c r="C132" s="3" t="n">
        <v>1</v>
      </c>
      <c r="D132" s="3" t="n">
        <v>1</v>
      </c>
      <c r="E132" s="3" t="n">
        <v>1</v>
      </c>
      <c r="F132" s="3" t="n">
        <v>1</v>
      </c>
    </row>
    <row r="133" customFormat="false" ht="15" hidden="false" customHeight="false" outlineLevel="0" collapsed="false">
      <c r="A133" s="22" t="s">
        <v>516</v>
      </c>
      <c r="B133" s="22" t="s">
        <v>515</v>
      </c>
      <c r="C133" s="3" t="n">
        <v>1</v>
      </c>
      <c r="D133" s="3" t="n">
        <v>1</v>
      </c>
      <c r="E133" s="3" t="n">
        <v>1</v>
      </c>
      <c r="F133" s="3" t="n">
        <v>1</v>
      </c>
    </row>
    <row r="134" customFormat="false" ht="15" hidden="false" customHeight="false" outlineLevel="0" collapsed="false">
      <c r="A134" s="22" t="s">
        <v>517</v>
      </c>
      <c r="B134" s="22" t="s">
        <v>518</v>
      </c>
      <c r="C134" s="3" t="n">
        <v>1</v>
      </c>
      <c r="D134" s="3" t="n">
        <v>1</v>
      </c>
      <c r="E134" s="3" t="n">
        <v>2</v>
      </c>
      <c r="F134" s="3" t="n">
        <v>2</v>
      </c>
    </row>
    <row r="135" customFormat="false" ht="15" hidden="false" customHeight="false" outlineLevel="0" collapsed="false">
      <c r="A135" s="22" t="s">
        <v>519</v>
      </c>
      <c r="B135" s="22" t="s">
        <v>518</v>
      </c>
      <c r="C135" s="3" t="n">
        <v>2</v>
      </c>
      <c r="D135" s="3" t="n">
        <v>2</v>
      </c>
      <c r="E135" s="3" t="n">
        <v>3</v>
      </c>
      <c r="F135" s="3" t="n">
        <v>2</v>
      </c>
    </row>
    <row r="136" customFormat="false" ht="15" hidden="false" customHeight="false" outlineLevel="0" collapsed="false">
      <c r="A136" s="22" t="s">
        <v>520</v>
      </c>
      <c r="B136" s="22" t="s">
        <v>521</v>
      </c>
      <c r="C136" s="3" t="n">
        <v>3</v>
      </c>
      <c r="D136" s="3" t="n">
        <v>3</v>
      </c>
      <c r="E136" s="3" t="n">
        <v>2</v>
      </c>
      <c r="F136" s="3" t="n">
        <v>2</v>
      </c>
    </row>
    <row r="137" customFormat="false" ht="15" hidden="false" customHeight="false" outlineLevel="0" collapsed="false">
      <c r="A137" s="22" t="s">
        <v>522</v>
      </c>
      <c r="B137" s="22" t="s">
        <v>521</v>
      </c>
      <c r="C137" s="3" t="n">
        <v>1</v>
      </c>
      <c r="D137" s="3" t="n">
        <v>1</v>
      </c>
      <c r="E137" s="3" t="n">
        <v>1</v>
      </c>
      <c r="F137" s="3" t="n">
        <v>1</v>
      </c>
    </row>
    <row r="138" customFormat="false" ht="15" hidden="false" customHeight="false" outlineLevel="0" collapsed="false">
      <c r="A138" s="22" t="s">
        <v>523</v>
      </c>
      <c r="B138" s="22" t="s">
        <v>524</v>
      </c>
      <c r="C138" s="3" t="n">
        <v>1</v>
      </c>
      <c r="D138" s="3" t="n">
        <v>1</v>
      </c>
      <c r="E138" s="3" t="n">
        <v>1</v>
      </c>
      <c r="F138" s="3" t="n">
        <v>1</v>
      </c>
    </row>
    <row r="139" customFormat="false" ht="15" hidden="false" customHeight="false" outlineLevel="0" collapsed="false">
      <c r="A139" s="22" t="s">
        <v>359</v>
      </c>
      <c r="B139" s="22" t="s">
        <v>524</v>
      </c>
      <c r="C139" s="3" t="n">
        <v>28</v>
      </c>
      <c r="D139" s="3" t="n">
        <v>17</v>
      </c>
      <c r="E139" s="3" t="n">
        <v>10</v>
      </c>
      <c r="F139" s="3" t="n">
        <v>27</v>
      </c>
    </row>
    <row r="140" customFormat="false" ht="15" hidden="false" customHeight="false" outlineLevel="0" collapsed="false">
      <c r="A140" s="22" t="s">
        <v>525</v>
      </c>
      <c r="B140" s="22" t="s">
        <v>526</v>
      </c>
      <c r="C140" s="3" t="n">
        <v>1</v>
      </c>
      <c r="D140" s="3" t="n">
        <v>1</v>
      </c>
      <c r="E140" s="3" t="n">
        <v>2</v>
      </c>
      <c r="F140" s="3" t="n">
        <v>2</v>
      </c>
    </row>
    <row r="141" customFormat="false" ht="15" hidden="false" customHeight="false" outlineLevel="0" collapsed="false">
      <c r="A141" s="22" t="s">
        <v>527</v>
      </c>
      <c r="B141" s="22" t="s">
        <v>526</v>
      </c>
      <c r="C141" s="3" t="n">
        <v>7</v>
      </c>
      <c r="D141" s="3" t="n">
        <v>2</v>
      </c>
      <c r="E141" s="3" t="n">
        <v>5</v>
      </c>
      <c r="F141" s="3" t="n">
        <v>5</v>
      </c>
    </row>
    <row r="142" customFormat="false" ht="15" hidden="false" customHeight="false" outlineLevel="0" collapsed="false">
      <c r="A142" s="22" t="s">
        <v>528</v>
      </c>
      <c r="B142" s="22" t="s">
        <v>529</v>
      </c>
      <c r="C142" s="3" t="n">
        <v>2</v>
      </c>
      <c r="D142" s="3" t="n">
        <v>2</v>
      </c>
      <c r="E142" s="3" t="n">
        <v>2</v>
      </c>
      <c r="F142" s="3" t="n">
        <v>2</v>
      </c>
    </row>
    <row r="143" customFormat="false" ht="15" hidden="false" customHeight="false" outlineLevel="0" collapsed="false">
      <c r="A143" s="22" t="s">
        <v>416</v>
      </c>
      <c r="B143" s="22" t="s">
        <v>529</v>
      </c>
      <c r="C143" s="3" t="n">
        <v>2</v>
      </c>
      <c r="D143" s="3" t="n">
        <v>2</v>
      </c>
      <c r="E143" s="3" t="n">
        <v>2</v>
      </c>
      <c r="F143" s="3" t="n">
        <v>2</v>
      </c>
    </row>
    <row r="144" customFormat="false" ht="15" hidden="false" customHeight="false" outlineLevel="0" collapsed="false">
      <c r="A144" s="22" t="s">
        <v>530</v>
      </c>
      <c r="B144" s="22" t="s">
        <v>518</v>
      </c>
      <c r="C144" s="3" t="n">
        <v>1</v>
      </c>
      <c r="D144" s="3" t="n">
        <v>1</v>
      </c>
      <c r="E144" s="3" t="n">
        <v>2</v>
      </c>
      <c r="F144" s="3" t="n">
        <v>2</v>
      </c>
    </row>
    <row r="145" customFormat="false" ht="15" hidden="false" customHeight="false" outlineLevel="0" collapsed="false">
      <c r="A145" s="22" t="s">
        <v>517</v>
      </c>
      <c r="B145" s="22" t="s">
        <v>518</v>
      </c>
      <c r="C145" s="3" t="n">
        <v>2</v>
      </c>
      <c r="D145" s="3" t="n">
        <v>2</v>
      </c>
      <c r="E145" s="3" t="n">
        <v>1</v>
      </c>
      <c r="F145" s="3" t="n">
        <v>1</v>
      </c>
    </row>
    <row r="146" customFormat="false" ht="15" hidden="false" customHeight="false" outlineLevel="0" collapsed="false">
      <c r="A146" s="22" t="s">
        <v>531</v>
      </c>
      <c r="B146" s="22" t="s">
        <v>532</v>
      </c>
      <c r="C146" s="3" t="n">
        <v>2</v>
      </c>
      <c r="D146" s="3" t="n">
        <v>2</v>
      </c>
      <c r="E146" s="3" t="n">
        <v>2</v>
      </c>
      <c r="F146" s="3" t="n">
        <v>2</v>
      </c>
    </row>
    <row r="147" customFormat="false" ht="15" hidden="false" customHeight="false" outlineLevel="0" collapsed="false">
      <c r="A147" s="22" t="s">
        <v>533</v>
      </c>
      <c r="B147" s="22" t="s">
        <v>532</v>
      </c>
      <c r="C147" s="3" t="n">
        <v>1</v>
      </c>
      <c r="D147" s="3" t="n">
        <v>2</v>
      </c>
      <c r="E147" s="3" t="n">
        <v>1</v>
      </c>
      <c r="F147" s="3" t="n">
        <v>2</v>
      </c>
    </row>
    <row r="148" customFormat="false" ht="15" hidden="false" customHeight="false" outlineLevel="0" collapsed="false">
      <c r="A148" s="22" t="s">
        <v>534</v>
      </c>
      <c r="B148" s="22" t="s">
        <v>535</v>
      </c>
      <c r="C148" s="3" t="n">
        <v>1</v>
      </c>
      <c r="D148" s="3" t="n">
        <v>1</v>
      </c>
      <c r="E148" s="3" t="n">
        <v>1</v>
      </c>
      <c r="F148" s="3" t="n">
        <v>1</v>
      </c>
    </row>
    <row r="149" customFormat="false" ht="15" hidden="false" customHeight="false" outlineLevel="0" collapsed="false">
      <c r="A149" s="22" t="s">
        <v>536</v>
      </c>
      <c r="B149" s="22" t="s">
        <v>535</v>
      </c>
      <c r="C149" s="3" t="n">
        <v>1</v>
      </c>
      <c r="D149" s="3" t="n">
        <v>1</v>
      </c>
      <c r="E149" s="3" t="n">
        <v>1</v>
      </c>
      <c r="F149" s="3" t="n">
        <v>1</v>
      </c>
    </row>
    <row r="150" customFormat="false" ht="15" hidden="false" customHeight="false" outlineLevel="0" collapsed="false">
      <c r="A150" s="22" t="s">
        <v>537</v>
      </c>
      <c r="B150" s="22" t="s">
        <v>538</v>
      </c>
      <c r="C150" s="3" t="n">
        <v>2</v>
      </c>
      <c r="D150" s="3" t="n">
        <v>2</v>
      </c>
      <c r="E150" s="3" t="n">
        <v>2</v>
      </c>
      <c r="F150" s="3" t="n">
        <v>2</v>
      </c>
    </row>
    <row r="151" customFormat="false" ht="15" hidden="false" customHeight="false" outlineLevel="0" collapsed="false">
      <c r="A151" s="22" t="s">
        <v>539</v>
      </c>
      <c r="B151" s="22" t="s">
        <v>538</v>
      </c>
      <c r="C151" s="3" t="n">
        <v>1</v>
      </c>
      <c r="D151" s="3" t="n">
        <v>1</v>
      </c>
      <c r="E151" s="3" t="n">
        <v>1</v>
      </c>
      <c r="F151" s="3" t="n">
        <v>1</v>
      </c>
    </row>
    <row r="152" customFormat="false" ht="17.15" hidden="false" customHeight="false" outlineLevel="0" collapsed="false">
      <c r="A152" s="22" t="s">
        <v>540</v>
      </c>
      <c r="B152" s="22" t="s">
        <v>541</v>
      </c>
      <c r="C152" s="3" t="n">
        <v>10</v>
      </c>
      <c r="D152" s="3" t="n">
        <v>9</v>
      </c>
      <c r="E152" s="3" t="n">
        <v>11</v>
      </c>
      <c r="F152" s="3" t="n">
        <v>10</v>
      </c>
    </row>
    <row r="153" customFormat="false" ht="17.15" hidden="false" customHeight="false" outlineLevel="0" collapsed="false">
      <c r="A153" s="22" t="s">
        <v>542</v>
      </c>
      <c r="B153" s="22" t="s">
        <v>541</v>
      </c>
      <c r="C153" s="3" t="n">
        <v>9</v>
      </c>
      <c r="D153" s="3" t="n">
        <v>8</v>
      </c>
      <c r="E153" s="3" t="n">
        <v>12</v>
      </c>
      <c r="F153" s="3" t="n">
        <v>11</v>
      </c>
    </row>
    <row r="154" customFormat="false" ht="15" hidden="false" customHeight="false" outlineLevel="0" collapsed="false">
      <c r="A154" s="22" t="s">
        <v>543</v>
      </c>
      <c r="B154" s="22" t="s">
        <v>544</v>
      </c>
      <c r="C154" s="3" t="n">
        <v>2</v>
      </c>
      <c r="D154" s="3" t="n">
        <v>2</v>
      </c>
      <c r="E154" s="3" t="n">
        <v>2</v>
      </c>
      <c r="F154" s="3" t="n">
        <v>2</v>
      </c>
    </row>
    <row r="155" customFormat="false" ht="15" hidden="false" customHeight="false" outlineLevel="0" collapsed="false">
      <c r="A155" s="22" t="s">
        <v>545</v>
      </c>
      <c r="B155" s="22" t="s">
        <v>544</v>
      </c>
      <c r="C155" s="3" t="n">
        <v>1</v>
      </c>
      <c r="D155" s="3" t="n">
        <v>1</v>
      </c>
      <c r="E155" s="3" t="n">
        <v>1</v>
      </c>
      <c r="F155" s="3" t="n">
        <v>1</v>
      </c>
    </row>
    <row r="156" customFormat="false" ht="15" hidden="false" customHeight="false" outlineLevel="0" collapsed="false">
      <c r="A156" s="22" t="s">
        <v>546</v>
      </c>
      <c r="B156" s="22" t="s">
        <v>547</v>
      </c>
      <c r="C156" s="3" t="n">
        <v>16</v>
      </c>
      <c r="D156" s="3" t="n">
        <v>16</v>
      </c>
      <c r="E156" s="3" t="n">
        <v>24</v>
      </c>
      <c r="F156" s="3" t="n">
        <v>27</v>
      </c>
    </row>
    <row r="157" customFormat="false" ht="15" hidden="false" customHeight="false" outlineLevel="0" collapsed="false">
      <c r="A157" s="22" t="s">
        <v>548</v>
      </c>
      <c r="B157" s="22" t="s">
        <v>547</v>
      </c>
      <c r="C157" s="3" t="n">
        <v>8</v>
      </c>
      <c r="D157" s="3" t="n">
        <v>7</v>
      </c>
      <c r="E157" s="3" t="n">
        <v>10</v>
      </c>
      <c r="F157" s="3" t="n">
        <v>8</v>
      </c>
    </row>
    <row r="158" customFormat="false" ht="15" hidden="false" customHeight="false" outlineLevel="0" collapsed="false">
      <c r="A158" s="22" t="s">
        <v>549</v>
      </c>
      <c r="B158" s="22" t="s">
        <v>550</v>
      </c>
      <c r="C158" s="3" t="n">
        <v>1</v>
      </c>
      <c r="D158" s="3" t="n">
        <v>1</v>
      </c>
      <c r="E158" s="3" t="n">
        <v>1</v>
      </c>
      <c r="F158" s="3" t="n">
        <v>1</v>
      </c>
    </row>
    <row r="159" customFormat="false" ht="15" hidden="false" customHeight="false" outlineLevel="0" collapsed="false">
      <c r="A159" s="22" t="s">
        <v>551</v>
      </c>
      <c r="B159" s="22" t="s">
        <v>550</v>
      </c>
      <c r="C159" s="3" t="n">
        <v>1</v>
      </c>
      <c r="D159" s="3" t="n">
        <v>1</v>
      </c>
      <c r="E159" s="3" t="n">
        <v>1</v>
      </c>
      <c r="F159" s="3" t="n">
        <v>1</v>
      </c>
    </row>
    <row r="160" customFormat="false" ht="17.15" hidden="false" customHeight="false" outlineLevel="0" collapsed="false">
      <c r="A160" s="22" t="s">
        <v>552</v>
      </c>
      <c r="B160" s="22" t="s">
        <v>553</v>
      </c>
      <c r="C160" s="3" t="n">
        <v>3</v>
      </c>
      <c r="D160" s="3" t="n">
        <v>3</v>
      </c>
      <c r="E160" s="3" t="n">
        <v>2</v>
      </c>
      <c r="F160" s="3" t="n">
        <v>2</v>
      </c>
    </row>
    <row r="161" customFormat="false" ht="17.15" hidden="false" customHeight="false" outlineLevel="0" collapsed="false">
      <c r="A161" s="22" t="s">
        <v>554</v>
      </c>
      <c r="B161" s="22" t="s">
        <v>553</v>
      </c>
      <c r="C161" s="3" t="n">
        <v>18</v>
      </c>
      <c r="D161" s="3" t="n">
        <v>10</v>
      </c>
      <c r="E161" s="3" t="n">
        <v>23</v>
      </c>
      <c r="F161" s="3" t="n">
        <v>13</v>
      </c>
    </row>
    <row r="162" customFormat="false" ht="17.15" hidden="false" customHeight="false" outlineLevel="0" collapsed="false">
      <c r="A162" s="22" t="s">
        <v>555</v>
      </c>
      <c r="B162" s="22" t="s">
        <v>556</v>
      </c>
      <c r="C162" s="3" t="n">
        <v>1</v>
      </c>
      <c r="D162" s="3" t="n">
        <v>1</v>
      </c>
      <c r="E162" s="3" t="n">
        <v>1</v>
      </c>
      <c r="F162" s="3" t="n">
        <v>1</v>
      </c>
    </row>
    <row r="163" customFormat="false" ht="17.15" hidden="false" customHeight="false" outlineLevel="0" collapsed="false">
      <c r="A163" s="22" t="s">
        <v>552</v>
      </c>
      <c r="B163" s="22" t="s">
        <v>556</v>
      </c>
      <c r="C163" s="3" t="n">
        <v>2</v>
      </c>
      <c r="D163" s="3" t="n">
        <v>2</v>
      </c>
      <c r="E163" s="3" t="n">
        <v>3</v>
      </c>
      <c r="F163" s="3" t="n">
        <v>3</v>
      </c>
    </row>
    <row r="164" customFormat="false" ht="15" hidden="false" customHeight="false" outlineLevel="0" collapsed="false">
      <c r="A164" s="22" t="s">
        <v>557</v>
      </c>
      <c r="B164" s="22" t="s">
        <v>558</v>
      </c>
      <c r="C164" s="3" t="n">
        <v>1</v>
      </c>
      <c r="D164" s="3" t="n">
        <v>1</v>
      </c>
      <c r="E164" s="3" t="n">
        <v>1</v>
      </c>
      <c r="F164" s="3" t="n">
        <v>1</v>
      </c>
    </row>
    <row r="165" customFormat="false" ht="15" hidden="false" customHeight="false" outlineLevel="0" collapsed="false">
      <c r="A165" s="22" t="s">
        <v>559</v>
      </c>
      <c r="B165" s="22" t="s">
        <v>558</v>
      </c>
      <c r="C165" s="3" t="n">
        <v>4</v>
      </c>
      <c r="D165" s="3" t="n">
        <v>4</v>
      </c>
      <c r="E165" s="3" t="n">
        <v>5</v>
      </c>
      <c r="F165" s="3" t="n">
        <v>4</v>
      </c>
    </row>
    <row r="166" customFormat="false" ht="15" hidden="false" customHeight="false" outlineLevel="0" collapsed="false">
      <c r="A166" s="22" t="s">
        <v>560</v>
      </c>
      <c r="B166" s="22" t="s">
        <v>561</v>
      </c>
      <c r="C166" s="3" t="n">
        <v>13</v>
      </c>
      <c r="D166" s="3" t="n">
        <v>11</v>
      </c>
      <c r="E166" s="3" t="n">
        <v>8</v>
      </c>
      <c r="F166" s="3" t="n">
        <v>13</v>
      </c>
    </row>
    <row r="167" customFormat="false" ht="15" hidden="false" customHeight="false" outlineLevel="0" collapsed="false">
      <c r="A167" s="22" t="s">
        <v>562</v>
      </c>
      <c r="B167" s="22" t="s">
        <v>561</v>
      </c>
      <c r="C167" s="3" t="n">
        <v>7</v>
      </c>
      <c r="D167" s="3" t="n">
        <v>5</v>
      </c>
      <c r="E167" s="3" t="n">
        <v>5</v>
      </c>
      <c r="F167" s="3" t="n">
        <v>9</v>
      </c>
    </row>
    <row r="168" customFormat="false" ht="15" hidden="false" customHeight="false" outlineLevel="0" collapsed="false">
      <c r="A168" s="22" t="s">
        <v>563</v>
      </c>
      <c r="B168" s="22" t="s">
        <v>564</v>
      </c>
      <c r="C168" s="3" t="n">
        <v>1</v>
      </c>
      <c r="D168" s="3" t="n">
        <v>1</v>
      </c>
      <c r="E168" s="3" t="n">
        <v>1</v>
      </c>
      <c r="F168" s="3" t="n">
        <v>1</v>
      </c>
    </row>
    <row r="169" customFormat="false" ht="15" hidden="false" customHeight="false" outlineLevel="0" collapsed="false">
      <c r="A169" s="22" t="s">
        <v>565</v>
      </c>
      <c r="B169" s="22" t="s">
        <v>564</v>
      </c>
      <c r="C169" s="3" t="n">
        <v>1</v>
      </c>
      <c r="D169" s="3" t="n">
        <v>1</v>
      </c>
      <c r="E169" s="3" t="n">
        <v>1</v>
      </c>
      <c r="F169" s="3" t="n">
        <v>1</v>
      </c>
    </row>
    <row r="170" customFormat="false" ht="17.15" hidden="false" customHeight="false" outlineLevel="0" collapsed="false">
      <c r="A170" s="22" t="s">
        <v>566</v>
      </c>
      <c r="B170" s="22" t="s">
        <v>567</v>
      </c>
      <c r="C170" s="3" t="n">
        <v>2</v>
      </c>
      <c r="D170" s="3" t="n">
        <v>1</v>
      </c>
      <c r="E170" s="3" t="n">
        <v>2</v>
      </c>
      <c r="F170" s="3" t="n">
        <v>2</v>
      </c>
    </row>
    <row r="171" customFormat="false" ht="17.15" hidden="false" customHeight="false" outlineLevel="0" collapsed="false">
      <c r="A171" s="22" t="s">
        <v>568</v>
      </c>
      <c r="B171" s="22" t="s">
        <v>567</v>
      </c>
      <c r="C171" s="3" t="n">
        <v>1</v>
      </c>
      <c r="D171" s="3" t="n">
        <v>1</v>
      </c>
      <c r="E171" s="3" t="n">
        <v>1</v>
      </c>
      <c r="F171" s="3" t="n">
        <v>1</v>
      </c>
    </row>
    <row r="172" customFormat="false" ht="15" hidden="false" customHeight="false" outlineLevel="0" collapsed="false">
      <c r="A172" s="22" t="s">
        <v>569</v>
      </c>
      <c r="B172" s="22" t="s">
        <v>570</v>
      </c>
      <c r="C172" s="3" t="n">
        <v>1</v>
      </c>
      <c r="D172" s="3" t="n">
        <v>1</v>
      </c>
      <c r="E172" s="3" t="n">
        <v>1</v>
      </c>
      <c r="F172" s="3" t="n">
        <v>1</v>
      </c>
    </row>
    <row r="173" customFormat="false" ht="15" hidden="false" customHeight="false" outlineLevel="0" collapsed="false">
      <c r="A173" s="22" t="s">
        <v>571</v>
      </c>
      <c r="B173" s="22" t="s">
        <v>570</v>
      </c>
      <c r="C173" s="3" t="n">
        <v>1</v>
      </c>
      <c r="D173" s="3" t="n">
        <v>1</v>
      </c>
      <c r="E173" s="3" t="n">
        <v>2</v>
      </c>
      <c r="F173" s="3" t="n">
        <v>2</v>
      </c>
    </row>
    <row r="174" customFormat="false" ht="15" hidden="false" customHeight="false" outlineLevel="0" collapsed="false">
      <c r="A174" s="22" t="s">
        <v>572</v>
      </c>
      <c r="B174" s="22" t="s">
        <v>573</v>
      </c>
      <c r="C174" s="3" t="n">
        <v>3</v>
      </c>
      <c r="D174" s="3" t="n">
        <v>2</v>
      </c>
      <c r="E174" s="3" t="n">
        <v>3</v>
      </c>
      <c r="F174" s="3" t="n">
        <v>2</v>
      </c>
    </row>
    <row r="175" customFormat="false" ht="15" hidden="false" customHeight="false" outlineLevel="0" collapsed="false">
      <c r="A175" s="22" t="s">
        <v>574</v>
      </c>
      <c r="B175" s="22" t="s">
        <v>573</v>
      </c>
      <c r="C175" s="3" t="n">
        <v>5</v>
      </c>
      <c r="D175" s="3" t="n">
        <v>3</v>
      </c>
      <c r="E175" s="3" t="n">
        <v>6</v>
      </c>
      <c r="F175" s="3" t="n">
        <v>2</v>
      </c>
    </row>
    <row r="176" customFormat="false" ht="15" hidden="false" customHeight="false" outlineLevel="0" collapsed="false">
      <c r="A176" s="22" t="s">
        <v>575</v>
      </c>
      <c r="B176" s="22" t="s">
        <v>576</v>
      </c>
      <c r="C176" s="3" t="n">
        <v>2</v>
      </c>
      <c r="D176" s="3" t="n">
        <v>2</v>
      </c>
      <c r="E176" s="3" t="n">
        <v>2</v>
      </c>
      <c r="F176" s="3" t="n">
        <v>2</v>
      </c>
    </row>
    <row r="177" customFormat="false" ht="15" hidden="false" customHeight="false" outlineLevel="0" collapsed="false">
      <c r="A177" s="22" t="s">
        <v>577</v>
      </c>
      <c r="B177" s="22" t="s">
        <v>576</v>
      </c>
      <c r="C177" s="3" t="n">
        <v>5</v>
      </c>
      <c r="D177" s="3" t="n">
        <v>5</v>
      </c>
      <c r="E177" s="3" t="n">
        <v>5</v>
      </c>
      <c r="F177" s="3" t="n">
        <v>5</v>
      </c>
    </row>
    <row r="178" customFormat="false" ht="15" hidden="false" customHeight="false" outlineLevel="0" collapsed="false">
      <c r="A178" s="22" t="s">
        <v>578</v>
      </c>
      <c r="B178" s="22" t="s">
        <v>579</v>
      </c>
      <c r="C178" s="3" t="n">
        <v>4</v>
      </c>
      <c r="D178" s="3" t="n">
        <v>3</v>
      </c>
      <c r="E178" s="3" t="n">
        <v>7</v>
      </c>
      <c r="F178" s="3" t="n">
        <v>6</v>
      </c>
    </row>
    <row r="179" customFormat="false" ht="15" hidden="false" customHeight="false" outlineLevel="0" collapsed="false">
      <c r="A179" s="22" t="s">
        <v>580</v>
      </c>
      <c r="B179" s="22" t="s">
        <v>579</v>
      </c>
      <c r="C179" s="3" t="n">
        <v>1</v>
      </c>
      <c r="D179" s="3" t="n">
        <v>1</v>
      </c>
      <c r="E179" s="3" t="n">
        <v>1</v>
      </c>
      <c r="F179" s="3" t="n">
        <v>1</v>
      </c>
    </row>
    <row r="180" customFormat="false" ht="17.15" hidden="false" customHeight="false" outlineLevel="0" collapsed="false">
      <c r="A180" s="22" t="s">
        <v>581</v>
      </c>
      <c r="B180" s="22" t="s">
        <v>582</v>
      </c>
      <c r="C180" s="3" t="n">
        <v>2</v>
      </c>
      <c r="D180" s="3" t="n">
        <v>3</v>
      </c>
      <c r="E180" s="3" t="n">
        <v>1</v>
      </c>
      <c r="F180" s="3" t="n">
        <v>3</v>
      </c>
    </row>
    <row r="181" customFormat="false" ht="17.15" hidden="false" customHeight="false" outlineLevel="0" collapsed="false">
      <c r="A181" s="22" t="s">
        <v>583</v>
      </c>
      <c r="B181" s="22" t="s">
        <v>582</v>
      </c>
      <c r="C181" s="3" t="n">
        <v>1</v>
      </c>
      <c r="D181" s="3" t="n">
        <v>1</v>
      </c>
      <c r="E181" s="3" t="n">
        <v>1</v>
      </c>
      <c r="F181" s="3" t="n">
        <v>1</v>
      </c>
    </row>
    <row r="182" customFormat="false" ht="15" hidden="false" customHeight="false" outlineLevel="0" collapsed="false">
      <c r="A182" s="22" t="s">
        <v>584</v>
      </c>
      <c r="B182" s="22" t="s">
        <v>585</v>
      </c>
      <c r="C182" s="3" t="n">
        <v>1</v>
      </c>
      <c r="D182" s="3" t="n">
        <v>1</v>
      </c>
      <c r="E182" s="3" t="n">
        <v>1</v>
      </c>
      <c r="F182" s="3" t="n">
        <v>1</v>
      </c>
    </row>
    <row r="183" customFormat="false" ht="15" hidden="false" customHeight="false" outlineLevel="0" collapsed="false">
      <c r="A183" s="22" t="s">
        <v>586</v>
      </c>
      <c r="B183" s="22" t="s">
        <v>585</v>
      </c>
      <c r="C183" s="3" t="n">
        <v>1</v>
      </c>
      <c r="D183" s="3" t="n">
        <v>1</v>
      </c>
      <c r="E183" s="3" t="n">
        <v>1</v>
      </c>
      <c r="F183" s="3" t="n">
        <v>1</v>
      </c>
    </row>
    <row r="184" customFormat="false" ht="15" hidden="false" customHeight="false" outlineLevel="0" collapsed="false">
      <c r="A184" s="22" t="s">
        <v>587</v>
      </c>
      <c r="B184" s="22" t="s">
        <v>588</v>
      </c>
      <c r="C184" s="3" t="n">
        <v>2</v>
      </c>
      <c r="D184" s="3" t="n">
        <v>2</v>
      </c>
      <c r="E184" s="3" t="n">
        <v>2</v>
      </c>
      <c r="F184" s="3" t="n">
        <v>3</v>
      </c>
    </row>
    <row r="185" customFormat="false" ht="15" hidden="false" customHeight="false" outlineLevel="0" collapsed="false">
      <c r="A185" s="22" t="s">
        <v>589</v>
      </c>
      <c r="B185" s="22" t="s">
        <v>588</v>
      </c>
      <c r="C185" s="3" t="n">
        <v>2</v>
      </c>
      <c r="D185" s="3" t="n">
        <v>2</v>
      </c>
      <c r="E185" s="3" t="n">
        <v>2</v>
      </c>
      <c r="F185" s="3" t="n">
        <v>2</v>
      </c>
    </row>
    <row r="186" customFormat="false" ht="17.15" hidden="false" customHeight="false" outlineLevel="0" collapsed="false">
      <c r="A186" s="22" t="s">
        <v>590</v>
      </c>
      <c r="B186" s="22" t="s">
        <v>591</v>
      </c>
      <c r="C186" s="3" t="n">
        <v>1</v>
      </c>
      <c r="D186" s="3" t="n">
        <v>1</v>
      </c>
      <c r="E186" s="3" t="n">
        <v>1</v>
      </c>
      <c r="F186" s="3" t="n">
        <v>1</v>
      </c>
    </row>
    <row r="187" customFormat="false" ht="17.15" hidden="false" customHeight="false" outlineLevel="0" collapsed="false">
      <c r="A187" s="22" t="s">
        <v>592</v>
      </c>
      <c r="B187" s="22" t="s">
        <v>591</v>
      </c>
      <c r="C187" s="3" t="n">
        <v>1</v>
      </c>
      <c r="D187" s="3" t="n">
        <v>1</v>
      </c>
      <c r="E187" s="3" t="n">
        <v>1</v>
      </c>
      <c r="F187" s="3" t="n">
        <v>1</v>
      </c>
    </row>
    <row r="188" customFormat="false" ht="17.15" hidden="false" customHeight="false" outlineLevel="0" collapsed="false">
      <c r="A188" s="22" t="s">
        <v>593</v>
      </c>
      <c r="B188" s="3" t="s">
        <v>594</v>
      </c>
      <c r="C188" s="3" t="n">
        <v>1</v>
      </c>
      <c r="D188" s="3" t="n">
        <v>1</v>
      </c>
      <c r="E188" s="3" t="n">
        <v>1</v>
      </c>
      <c r="F188" s="3" t="n">
        <v>1</v>
      </c>
    </row>
    <row r="189" customFormat="false" ht="17.15" hidden="false" customHeight="false" outlineLevel="0" collapsed="false">
      <c r="A189" s="22" t="s">
        <v>595</v>
      </c>
      <c r="B189" s="3" t="s">
        <v>594</v>
      </c>
      <c r="C189" s="3" t="n">
        <v>5</v>
      </c>
      <c r="D189" s="3" t="n">
        <v>5</v>
      </c>
      <c r="E189" s="3" t="n">
        <v>5</v>
      </c>
      <c r="F189" s="3" t="n">
        <v>5</v>
      </c>
    </row>
    <row r="190" customFormat="false" ht="15" hidden="false" customHeight="false" outlineLevel="0" collapsed="false">
      <c r="A190" s="22" t="s">
        <v>596</v>
      </c>
      <c r="B190" s="22" t="s">
        <v>597</v>
      </c>
      <c r="C190" s="3" t="n">
        <v>1</v>
      </c>
      <c r="D190" s="3" t="n">
        <v>1</v>
      </c>
      <c r="E190" s="3" t="n">
        <v>2</v>
      </c>
      <c r="F190" s="3" t="n">
        <v>1</v>
      </c>
    </row>
    <row r="191" customFormat="false" ht="15" hidden="false" customHeight="false" outlineLevel="0" collapsed="false">
      <c r="A191" s="22" t="s">
        <v>598</v>
      </c>
      <c r="B191" s="22" t="s">
        <v>597</v>
      </c>
      <c r="C191" s="3" t="n">
        <v>1</v>
      </c>
      <c r="D191" s="3" t="n">
        <v>1</v>
      </c>
      <c r="E191" s="3" t="n">
        <v>1</v>
      </c>
      <c r="F191" s="3" t="n">
        <v>1</v>
      </c>
    </row>
    <row r="192" customFormat="false" ht="15" hidden="false" customHeight="false" outlineLevel="0" collapsed="false">
      <c r="A192" s="22" t="s">
        <v>599</v>
      </c>
      <c r="B192" s="22" t="s">
        <v>600</v>
      </c>
      <c r="C192" s="3" t="n">
        <v>6</v>
      </c>
      <c r="D192" s="3" t="n">
        <v>19</v>
      </c>
      <c r="E192" s="3" t="n">
        <v>4</v>
      </c>
      <c r="F192" s="3" t="n">
        <v>8</v>
      </c>
    </row>
    <row r="193" customFormat="false" ht="15" hidden="false" customHeight="false" outlineLevel="0" collapsed="false">
      <c r="A193" s="22" t="s">
        <v>601</v>
      </c>
      <c r="B193" s="22" t="s">
        <v>600</v>
      </c>
      <c r="C193" s="3" t="n">
        <v>1</v>
      </c>
      <c r="D193" s="3" t="n">
        <v>1</v>
      </c>
      <c r="E193" s="3" t="n">
        <v>1</v>
      </c>
      <c r="F193" s="3" t="n">
        <v>2</v>
      </c>
    </row>
    <row r="194" customFormat="false" ht="15" hidden="false" customHeight="false" outlineLevel="0" collapsed="false">
      <c r="A194" s="22" t="s">
        <v>602</v>
      </c>
      <c r="B194" s="22" t="s">
        <v>603</v>
      </c>
      <c r="C194" s="3" t="n">
        <v>1</v>
      </c>
      <c r="D194" s="3" t="n">
        <v>1</v>
      </c>
      <c r="E194" s="3" t="n">
        <v>1</v>
      </c>
      <c r="F194" s="3" t="n">
        <v>1</v>
      </c>
    </row>
    <row r="195" customFormat="false" ht="15" hidden="false" customHeight="false" outlineLevel="0" collapsed="false">
      <c r="A195" s="22" t="s">
        <v>604</v>
      </c>
      <c r="B195" s="22" t="s">
        <v>603</v>
      </c>
      <c r="C195" s="3" t="n">
        <v>1</v>
      </c>
      <c r="D195" s="3" t="n">
        <v>1</v>
      </c>
      <c r="E195" s="3" t="n">
        <v>1</v>
      </c>
      <c r="F195" s="3" t="n">
        <v>1</v>
      </c>
    </row>
    <row r="196" customFormat="false" ht="15" hidden="false" customHeight="false" outlineLevel="0" collapsed="false">
      <c r="A196" s="22" t="s">
        <v>605</v>
      </c>
      <c r="B196" s="22" t="s">
        <v>606</v>
      </c>
      <c r="C196" s="3" t="n">
        <v>1</v>
      </c>
      <c r="D196" s="3" t="n">
        <v>1</v>
      </c>
      <c r="E196" s="3" t="n">
        <v>1</v>
      </c>
      <c r="F196" s="3" t="n">
        <v>1</v>
      </c>
    </row>
    <row r="197" customFormat="false" ht="15" hidden="false" customHeight="false" outlineLevel="0" collapsed="false">
      <c r="A197" s="22" t="s">
        <v>607</v>
      </c>
      <c r="B197" s="22" t="s">
        <v>606</v>
      </c>
      <c r="C197" s="3" t="n">
        <v>1</v>
      </c>
      <c r="D197" s="3" t="n">
        <v>1</v>
      </c>
      <c r="E197" s="3" t="n">
        <v>1</v>
      </c>
      <c r="F197" s="3" t="n">
        <v>1</v>
      </c>
    </row>
    <row r="198" customFormat="false" ht="15" hidden="false" customHeight="false" outlineLevel="0" collapsed="false">
      <c r="A198" s="22" t="s">
        <v>608</v>
      </c>
      <c r="B198" s="22" t="s">
        <v>609</v>
      </c>
      <c r="C198" s="3" t="n">
        <v>3</v>
      </c>
      <c r="D198" s="3" t="n">
        <v>2</v>
      </c>
      <c r="E198" s="3" t="n">
        <v>3</v>
      </c>
      <c r="F198" s="3" t="n">
        <v>2</v>
      </c>
    </row>
    <row r="199" customFormat="false" ht="15" hidden="false" customHeight="false" outlineLevel="0" collapsed="false">
      <c r="A199" s="22" t="s">
        <v>610</v>
      </c>
      <c r="B199" s="22" t="s">
        <v>609</v>
      </c>
      <c r="C199" s="3" t="n">
        <v>1</v>
      </c>
      <c r="D199" s="3" t="n">
        <v>1</v>
      </c>
      <c r="E199" s="3" t="n">
        <v>1</v>
      </c>
      <c r="F199" s="3" t="n">
        <v>1</v>
      </c>
    </row>
    <row r="200" customFormat="false" ht="15" hidden="false" customHeight="false" outlineLevel="0" collapsed="false">
      <c r="A200" s="22" t="s">
        <v>599</v>
      </c>
      <c r="B200" s="22" t="s">
        <v>611</v>
      </c>
      <c r="C200" s="3" t="n">
        <v>8</v>
      </c>
      <c r="D200" s="3" t="n">
        <v>8</v>
      </c>
      <c r="E200" s="3" t="n">
        <v>8</v>
      </c>
      <c r="F200" s="3" t="n">
        <v>5</v>
      </c>
    </row>
    <row r="201" customFormat="false" ht="15" hidden="false" customHeight="false" outlineLevel="0" collapsed="false">
      <c r="A201" s="22" t="s">
        <v>612</v>
      </c>
      <c r="B201" s="22" t="s">
        <v>611</v>
      </c>
      <c r="C201" s="3" t="n">
        <v>1</v>
      </c>
      <c r="D201" s="3" t="n">
        <v>1</v>
      </c>
      <c r="E201" s="3" t="n">
        <v>1</v>
      </c>
      <c r="F201" s="3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4" min="4" style="0" width="34"/>
    <col collapsed="false" customWidth="true" hidden="false" outlineLevel="0" max="5" min="5" style="0" width="14"/>
    <col collapsed="false" customWidth="true" hidden="false" outlineLevel="0" max="6" min="6" style="0" width="34"/>
    <col collapsed="false" customWidth="true" hidden="false" outlineLevel="0" max="7" min="7" style="0" width="14"/>
    <col collapsed="false" customWidth="true" hidden="false" outlineLevel="0" max="8" min="8" style="0" width="34"/>
    <col collapsed="false" customWidth="true" hidden="false" outlineLevel="0" max="9" min="9" style="0" width="14"/>
  </cols>
  <sheetData>
    <row r="1" customFormat="false" ht="48" hidden="false" customHeight="true" outlineLevel="0" collapsed="false">
      <c r="A1" s="4" t="s">
        <v>613</v>
      </c>
      <c r="B1" s="4" t="s">
        <v>614</v>
      </c>
      <c r="C1" s="4" t="s">
        <v>615</v>
      </c>
      <c r="D1" s="4" t="s">
        <v>616</v>
      </c>
      <c r="E1" s="4" t="s">
        <v>617</v>
      </c>
      <c r="F1" s="4" t="s">
        <v>618</v>
      </c>
      <c r="G1" s="4" t="s">
        <v>619</v>
      </c>
      <c r="H1" s="4" t="s">
        <v>620</v>
      </c>
      <c r="I1" s="4" t="s">
        <v>621</v>
      </c>
    </row>
    <row r="2" customFormat="false" ht="15" hidden="false" customHeight="false" outlineLevel="0" collapsed="false">
      <c r="A2" s="3" t="s">
        <v>622</v>
      </c>
      <c r="B2" s="22" t="s">
        <v>623</v>
      </c>
      <c r="C2" s="3" t="n">
        <v>7</v>
      </c>
      <c r="D2" s="22" t="s">
        <v>624</v>
      </c>
      <c r="E2" s="3" t="n">
        <v>1</v>
      </c>
      <c r="F2" s="22" t="s">
        <v>625</v>
      </c>
      <c r="G2" s="3" t="n">
        <v>5</v>
      </c>
      <c r="H2" s="22" t="s">
        <v>626</v>
      </c>
      <c r="I2" s="3" t="n">
        <v>3</v>
      </c>
    </row>
    <row r="3" customFormat="false" ht="15" hidden="false" customHeight="false" outlineLevel="0" collapsed="false">
      <c r="A3" s="3" t="s">
        <v>627</v>
      </c>
      <c r="B3" s="22" t="s">
        <v>628</v>
      </c>
      <c r="C3" s="3" t="n">
        <v>20</v>
      </c>
      <c r="D3" s="22" t="s">
        <v>629</v>
      </c>
      <c r="E3" s="3" t="n">
        <v>2</v>
      </c>
      <c r="F3" s="22" t="s">
        <v>630</v>
      </c>
      <c r="G3" s="3" t="n">
        <v>6</v>
      </c>
      <c r="H3" s="22" t="s">
        <v>631</v>
      </c>
      <c r="I3" s="3" t="n">
        <v>8</v>
      </c>
    </row>
    <row r="4" customFormat="false" ht="15" hidden="false" customHeight="false" outlineLevel="0" collapsed="false">
      <c r="A4" s="3" t="s">
        <v>632</v>
      </c>
      <c r="B4" s="22" t="s">
        <v>633</v>
      </c>
      <c r="C4" s="3" t="n">
        <v>9</v>
      </c>
      <c r="D4" s="22" t="s">
        <v>633</v>
      </c>
      <c r="E4" s="3" t="n">
        <v>0</v>
      </c>
      <c r="F4" s="22" t="s">
        <v>634</v>
      </c>
      <c r="G4" s="3" t="n">
        <v>1</v>
      </c>
      <c r="H4" s="22" t="s">
        <v>635</v>
      </c>
      <c r="I4" s="3" t="n">
        <v>2</v>
      </c>
    </row>
    <row r="5" customFormat="false" ht="15" hidden="false" customHeight="false" outlineLevel="0" collapsed="false">
      <c r="A5" s="3" t="s">
        <v>636</v>
      </c>
      <c r="B5" s="22" t="s">
        <v>637</v>
      </c>
      <c r="C5" s="3" t="n">
        <v>7</v>
      </c>
      <c r="D5" s="22" t="s">
        <v>638</v>
      </c>
      <c r="E5" s="3" t="n">
        <v>1</v>
      </c>
      <c r="F5" s="22" t="s">
        <v>638</v>
      </c>
      <c r="G5" s="3" t="n">
        <v>1</v>
      </c>
      <c r="H5" s="22" t="s">
        <v>639</v>
      </c>
      <c r="I5" s="3" t="n">
        <v>2</v>
      </c>
    </row>
    <row r="6" customFormat="false" ht="15" hidden="false" customHeight="false" outlineLevel="0" collapsed="false">
      <c r="A6" s="3" t="s">
        <v>640</v>
      </c>
      <c r="B6" s="22" t="s">
        <v>641</v>
      </c>
      <c r="C6" s="3" t="n">
        <v>9</v>
      </c>
      <c r="D6" s="22" t="s">
        <v>642</v>
      </c>
      <c r="E6" s="3" t="n">
        <v>3</v>
      </c>
      <c r="F6" s="22" t="s">
        <v>643</v>
      </c>
      <c r="G6" s="3" t="n">
        <v>2</v>
      </c>
      <c r="H6" s="22" t="s">
        <v>644</v>
      </c>
      <c r="I6" s="3" t="n">
        <v>5</v>
      </c>
    </row>
    <row r="7" customFormat="false" ht="15" hidden="false" customHeight="false" outlineLevel="0" collapsed="false">
      <c r="A7" s="3" t="s">
        <v>645</v>
      </c>
      <c r="B7" s="22" t="s">
        <v>646</v>
      </c>
      <c r="C7" s="3" t="n">
        <v>12</v>
      </c>
      <c r="D7" s="22" t="s">
        <v>647</v>
      </c>
      <c r="E7" s="3" t="n">
        <v>4</v>
      </c>
      <c r="F7" s="22" t="s">
        <v>648</v>
      </c>
      <c r="G7" s="3" t="n">
        <v>8</v>
      </c>
      <c r="H7" s="22" t="s">
        <v>649</v>
      </c>
      <c r="I7" s="3" t="n">
        <v>6</v>
      </c>
    </row>
    <row r="8" customFormat="false" ht="15" hidden="false" customHeight="false" outlineLevel="0" collapsed="false">
      <c r="A8" s="3" t="s">
        <v>650</v>
      </c>
      <c r="B8" s="22" t="s">
        <v>651</v>
      </c>
      <c r="C8" s="3" t="n">
        <v>10</v>
      </c>
      <c r="D8" s="22" t="s">
        <v>652</v>
      </c>
      <c r="E8" s="3" t="n">
        <v>3</v>
      </c>
      <c r="F8" s="22" t="s">
        <v>653</v>
      </c>
      <c r="G8" s="3" t="n">
        <v>2</v>
      </c>
      <c r="H8" s="22" t="s">
        <v>654</v>
      </c>
      <c r="I8" s="3" t="n">
        <v>5</v>
      </c>
    </row>
    <row r="9" customFormat="false" ht="15" hidden="false" customHeight="false" outlineLevel="0" collapsed="false">
      <c r="A9" s="3" t="s">
        <v>655</v>
      </c>
      <c r="B9" s="22" t="s">
        <v>656</v>
      </c>
      <c r="C9" s="3" t="n">
        <v>7</v>
      </c>
      <c r="D9" s="22" t="s">
        <v>657</v>
      </c>
      <c r="E9" s="3" t="n">
        <v>1</v>
      </c>
      <c r="F9" s="22" t="s">
        <v>658</v>
      </c>
      <c r="G9" s="3" t="n">
        <v>2</v>
      </c>
      <c r="H9" s="22" t="s">
        <v>659</v>
      </c>
      <c r="I9" s="3" t="n">
        <v>3</v>
      </c>
    </row>
    <row r="10" customFormat="false" ht="15" hidden="false" customHeight="false" outlineLevel="0" collapsed="false">
      <c r="A10" s="3" t="s">
        <v>660</v>
      </c>
      <c r="B10" s="22" t="s">
        <v>661</v>
      </c>
      <c r="C10" s="3" t="n">
        <v>8</v>
      </c>
      <c r="D10" s="22" t="s">
        <v>661</v>
      </c>
      <c r="E10" s="3" t="n">
        <v>0</v>
      </c>
      <c r="F10" s="22" t="s">
        <v>661</v>
      </c>
      <c r="G10" s="3" t="n">
        <v>0</v>
      </c>
      <c r="H10" s="22" t="s">
        <v>662</v>
      </c>
      <c r="I10" s="3" t="n">
        <v>1</v>
      </c>
    </row>
    <row r="11" customFormat="false" ht="15" hidden="false" customHeight="false" outlineLevel="0" collapsed="false">
      <c r="A11" s="3" t="s">
        <v>663</v>
      </c>
      <c r="B11" s="22" t="s">
        <v>664</v>
      </c>
      <c r="C11" s="3" t="n">
        <v>12</v>
      </c>
      <c r="D11" s="22" t="s">
        <v>664</v>
      </c>
      <c r="E11" s="3" t="n">
        <v>0</v>
      </c>
      <c r="F11" s="22" t="s">
        <v>665</v>
      </c>
      <c r="G11" s="3" t="n">
        <v>1</v>
      </c>
      <c r="H11" s="22" t="s">
        <v>666</v>
      </c>
      <c r="I11" s="3" t="n">
        <v>3</v>
      </c>
    </row>
    <row r="12" customFormat="false" ht="15" hidden="false" customHeight="false" outlineLevel="0" collapsed="false">
      <c r="A12" s="3" t="s">
        <v>667</v>
      </c>
      <c r="B12" s="22" t="s">
        <v>668</v>
      </c>
      <c r="C12" s="3" t="n">
        <v>7</v>
      </c>
      <c r="D12" s="22" t="s">
        <v>668</v>
      </c>
      <c r="E12" s="3" t="n">
        <v>0</v>
      </c>
      <c r="F12" s="22" t="s">
        <v>669</v>
      </c>
      <c r="G12" s="3" t="n">
        <v>2</v>
      </c>
      <c r="H12" s="22" t="s">
        <v>670</v>
      </c>
      <c r="I12" s="3" t="n">
        <v>1</v>
      </c>
    </row>
    <row r="13" customFormat="false" ht="15" hidden="false" customHeight="false" outlineLevel="0" collapsed="false">
      <c r="A13" s="3" t="s">
        <v>671</v>
      </c>
      <c r="B13" s="22" t="s">
        <v>672</v>
      </c>
      <c r="C13" s="3" t="n">
        <v>15</v>
      </c>
      <c r="D13" s="22" t="s">
        <v>673</v>
      </c>
      <c r="E13" s="3" t="n">
        <v>0</v>
      </c>
      <c r="F13" s="22" t="s">
        <v>673</v>
      </c>
      <c r="G13" s="3" t="n">
        <v>0</v>
      </c>
      <c r="H13" s="22" t="s">
        <v>674</v>
      </c>
      <c r="I13" s="3" t="n">
        <v>2</v>
      </c>
    </row>
    <row r="14" customFormat="false" ht="15" hidden="false" customHeight="false" outlineLevel="0" collapsed="false">
      <c r="A14" s="3" t="s">
        <v>675</v>
      </c>
      <c r="B14" s="22" t="s">
        <v>676</v>
      </c>
      <c r="C14" s="3" t="n">
        <v>5</v>
      </c>
      <c r="D14" s="22" t="s">
        <v>677</v>
      </c>
      <c r="E14" s="3" t="n">
        <v>0</v>
      </c>
      <c r="F14" s="22" t="s">
        <v>676</v>
      </c>
      <c r="G14" s="3" t="n">
        <v>0</v>
      </c>
      <c r="H14" s="22" t="s">
        <v>676</v>
      </c>
      <c r="I14" s="3" t="n">
        <v>0</v>
      </c>
    </row>
    <row r="15" customFormat="false" ht="15" hidden="false" customHeight="false" outlineLevel="0" collapsed="false">
      <c r="A15" s="3" t="s">
        <v>678</v>
      </c>
      <c r="B15" s="22" t="s">
        <v>679</v>
      </c>
      <c r="C15" s="3" t="n">
        <v>8</v>
      </c>
      <c r="D15" s="22" t="s">
        <v>679</v>
      </c>
      <c r="E15" s="3" t="n">
        <v>0</v>
      </c>
      <c r="F15" s="22" t="s">
        <v>680</v>
      </c>
      <c r="G15" s="3" t="n">
        <v>1</v>
      </c>
      <c r="H15" s="22" t="s">
        <v>681</v>
      </c>
      <c r="I15" s="3" t="n">
        <v>4</v>
      </c>
    </row>
    <row r="16" customFormat="false" ht="15" hidden="false" customHeight="false" outlineLevel="0" collapsed="false">
      <c r="A16" s="3" t="s">
        <v>682</v>
      </c>
      <c r="B16" s="22" t="s">
        <v>683</v>
      </c>
      <c r="C16" s="3" t="n">
        <v>6</v>
      </c>
      <c r="D16" s="22" t="s">
        <v>683</v>
      </c>
      <c r="E16" s="3" t="n">
        <v>0</v>
      </c>
      <c r="F16" s="22" t="s">
        <v>683</v>
      </c>
      <c r="G16" s="3" t="n">
        <v>0</v>
      </c>
      <c r="H16" s="22" t="s">
        <v>684</v>
      </c>
      <c r="I16" s="3" t="n">
        <v>2</v>
      </c>
    </row>
    <row r="17" customFormat="false" ht="15" hidden="false" customHeight="false" outlineLevel="0" collapsed="false">
      <c r="A17" s="3" t="s">
        <v>685</v>
      </c>
      <c r="B17" s="22" t="s">
        <v>686</v>
      </c>
      <c r="C17" s="3" t="n">
        <v>17</v>
      </c>
      <c r="D17" s="22" t="s">
        <v>687</v>
      </c>
      <c r="E17" s="3" t="n">
        <v>1</v>
      </c>
      <c r="F17" s="22" t="s">
        <v>688</v>
      </c>
      <c r="G17" s="3" t="n">
        <v>3</v>
      </c>
      <c r="H17" s="22" t="s">
        <v>689</v>
      </c>
      <c r="I17" s="3" t="n">
        <v>2</v>
      </c>
    </row>
    <row r="18" customFormat="false" ht="17.15" hidden="false" customHeight="false" outlineLevel="0" collapsed="false">
      <c r="A18" s="3" t="s">
        <v>690</v>
      </c>
      <c r="B18" s="22" t="s">
        <v>691</v>
      </c>
      <c r="C18" s="3" t="n">
        <v>9</v>
      </c>
      <c r="D18" s="22" t="s">
        <v>692</v>
      </c>
      <c r="E18" s="3" t="n">
        <v>1</v>
      </c>
      <c r="F18" s="22" t="s">
        <v>693</v>
      </c>
      <c r="G18" s="3" t="n">
        <v>4</v>
      </c>
      <c r="H18" s="22" t="s">
        <v>694</v>
      </c>
      <c r="I18" s="3" t="n">
        <v>2</v>
      </c>
    </row>
    <row r="19" customFormat="false" ht="15" hidden="false" customHeight="false" outlineLevel="0" collapsed="false">
      <c r="A19" s="3" t="s">
        <v>695</v>
      </c>
      <c r="B19" s="22" t="s">
        <v>696</v>
      </c>
      <c r="C19" s="3" t="n">
        <v>16</v>
      </c>
      <c r="D19" s="22" t="s">
        <v>696</v>
      </c>
      <c r="E19" s="3" t="n">
        <v>0</v>
      </c>
      <c r="F19" s="22" t="s">
        <v>697</v>
      </c>
      <c r="G19" s="3" t="n">
        <v>2</v>
      </c>
      <c r="H19" s="22" t="s">
        <v>698</v>
      </c>
      <c r="I19" s="3" t="n">
        <v>4</v>
      </c>
    </row>
    <row r="20" customFormat="false" ht="15" hidden="false" customHeight="false" outlineLevel="0" collapsed="false">
      <c r="A20" s="3" t="s">
        <v>699</v>
      </c>
      <c r="B20" s="22" t="s">
        <v>700</v>
      </c>
      <c r="C20" s="3" t="n">
        <v>10</v>
      </c>
      <c r="D20" s="22" t="s">
        <v>701</v>
      </c>
      <c r="E20" s="3" t="n">
        <v>4</v>
      </c>
      <c r="F20" s="22" t="s">
        <v>702</v>
      </c>
      <c r="G20" s="3" t="n">
        <v>3</v>
      </c>
      <c r="H20" s="22" t="s">
        <v>703</v>
      </c>
      <c r="I20" s="3" t="n">
        <v>3</v>
      </c>
    </row>
    <row r="21" customFormat="false" ht="15" hidden="false" customHeight="false" outlineLevel="0" collapsed="false">
      <c r="A21" s="3" t="s">
        <v>704</v>
      </c>
      <c r="B21" s="22" t="s">
        <v>705</v>
      </c>
      <c r="C21" s="3" t="n">
        <v>6</v>
      </c>
      <c r="D21" s="22" t="s">
        <v>706</v>
      </c>
      <c r="E21" s="3" t="n">
        <v>2</v>
      </c>
      <c r="F21" s="22" t="s">
        <v>707</v>
      </c>
      <c r="G21" s="3" t="n">
        <v>2</v>
      </c>
      <c r="H21" s="22" t="s">
        <v>708</v>
      </c>
      <c r="I21" s="3" t="n">
        <v>2</v>
      </c>
    </row>
    <row r="22" customFormat="false" ht="15" hidden="false" customHeight="false" outlineLevel="0" collapsed="false">
      <c r="A22" s="3" t="s">
        <v>709</v>
      </c>
      <c r="B22" s="22" t="s">
        <v>710</v>
      </c>
      <c r="C22" s="3" t="n">
        <v>8</v>
      </c>
      <c r="D22" s="22" t="s">
        <v>711</v>
      </c>
      <c r="E22" s="3" t="n">
        <v>3</v>
      </c>
      <c r="F22" s="22" t="s">
        <v>712</v>
      </c>
      <c r="G22" s="3" t="n">
        <v>5</v>
      </c>
      <c r="H22" s="22" t="s">
        <v>713</v>
      </c>
      <c r="I22" s="3" t="n">
        <v>5</v>
      </c>
    </row>
    <row r="23" customFormat="false" ht="15" hidden="false" customHeight="false" outlineLevel="0" collapsed="false">
      <c r="A23" s="3" t="s">
        <v>714</v>
      </c>
      <c r="B23" s="22" t="s">
        <v>715</v>
      </c>
      <c r="C23" s="3" t="n">
        <v>11</v>
      </c>
      <c r="D23" s="22" t="s">
        <v>716</v>
      </c>
      <c r="E23" s="3" t="n">
        <v>1</v>
      </c>
      <c r="F23" s="22" t="s">
        <v>717</v>
      </c>
      <c r="G23" s="3" t="n">
        <v>1</v>
      </c>
      <c r="H23" s="22" t="s">
        <v>718</v>
      </c>
      <c r="I23" s="3" t="n">
        <v>3</v>
      </c>
    </row>
    <row r="24" customFormat="false" ht="15" hidden="false" customHeight="false" outlineLevel="0" collapsed="false">
      <c r="A24" s="3" t="s">
        <v>719</v>
      </c>
      <c r="B24" s="22" t="s">
        <v>720</v>
      </c>
      <c r="C24" s="3" t="n">
        <v>10</v>
      </c>
      <c r="D24" s="22" t="s">
        <v>720</v>
      </c>
      <c r="E24" s="3" t="n">
        <v>0</v>
      </c>
      <c r="F24" s="22" t="s">
        <v>721</v>
      </c>
      <c r="G24" s="3" t="n">
        <v>4</v>
      </c>
      <c r="H24" s="22" t="s">
        <v>722</v>
      </c>
      <c r="I24" s="3" t="n">
        <v>3</v>
      </c>
    </row>
    <row r="25" customFormat="false" ht="15" hidden="false" customHeight="false" outlineLevel="0" collapsed="false">
      <c r="A25" s="3" t="s">
        <v>723</v>
      </c>
      <c r="B25" s="22" t="s">
        <v>724</v>
      </c>
      <c r="C25" s="3" t="n">
        <v>9</v>
      </c>
      <c r="D25" s="22" t="s">
        <v>724</v>
      </c>
      <c r="E25" s="3" t="n">
        <v>0</v>
      </c>
      <c r="F25" s="22" t="s">
        <v>725</v>
      </c>
      <c r="G25" s="3" t="n">
        <v>0</v>
      </c>
      <c r="H25" s="22" t="s">
        <v>726</v>
      </c>
      <c r="I25" s="3" t="n">
        <v>1</v>
      </c>
    </row>
    <row r="26" customFormat="false" ht="15" hidden="false" customHeight="false" outlineLevel="0" collapsed="false">
      <c r="A26" s="3" t="s">
        <v>727</v>
      </c>
      <c r="B26" s="22" t="s">
        <v>728</v>
      </c>
      <c r="C26" s="3" t="n">
        <v>8</v>
      </c>
      <c r="D26" s="22" t="s">
        <v>729</v>
      </c>
      <c r="E26" s="3" t="n">
        <v>1</v>
      </c>
      <c r="F26" s="22" t="s">
        <v>728</v>
      </c>
      <c r="G26" s="3" t="n">
        <v>0</v>
      </c>
      <c r="H26" s="22" t="s">
        <v>728</v>
      </c>
      <c r="I26" s="3" t="n">
        <v>0</v>
      </c>
    </row>
    <row r="27" customFormat="false" ht="15" hidden="false" customHeight="false" outlineLevel="0" collapsed="false">
      <c r="A27" s="3" t="s">
        <v>730</v>
      </c>
      <c r="B27" s="22" t="s">
        <v>731</v>
      </c>
      <c r="C27" s="3" t="n">
        <v>5</v>
      </c>
      <c r="D27" s="22" t="s">
        <v>731</v>
      </c>
      <c r="E27" s="3" t="n">
        <v>0</v>
      </c>
      <c r="F27" s="22" t="s">
        <v>731</v>
      </c>
      <c r="G27" s="3" t="n">
        <v>0</v>
      </c>
      <c r="H27" s="22" t="s">
        <v>732</v>
      </c>
      <c r="I27" s="3" t="n">
        <v>1</v>
      </c>
    </row>
    <row r="28" customFormat="false" ht="15" hidden="false" customHeight="false" outlineLevel="0" collapsed="false">
      <c r="A28" s="3" t="s">
        <v>733</v>
      </c>
      <c r="B28" s="22" t="s">
        <v>734</v>
      </c>
      <c r="C28" s="3" t="n">
        <v>15</v>
      </c>
      <c r="D28" s="22" t="s">
        <v>735</v>
      </c>
      <c r="E28" s="3" t="n">
        <v>5</v>
      </c>
      <c r="F28" s="22" t="s">
        <v>736</v>
      </c>
      <c r="G28" s="3" t="n">
        <v>8</v>
      </c>
      <c r="H28" s="22" t="s">
        <v>737</v>
      </c>
      <c r="I28" s="3" t="n">
        <v>3</v>
      </c>
    </row>
    <row r="29" customFormat="false" ht="15" hidden="false" customHeight="false" outlineLevel="0" collapsed="false">
      <c r="A29" s="3" t="s">
        <v>738</v>
      </c>
      <c r="B29" s="22" t="s">
        <v>739</v>
      </c>
      <c r="C29" s="3" t="n">
        <v>19</v>
      </c>
      <c r="D29" s="22" t="s">
        <v>740</v>
      </c>
      <c r="E29" s="3" t="n">
        <v>2</v>
      </c>
      <c r="F29" s="22" t="s">
        <v>741</v>
      </c>
      <c r="G29" s="3" t="n">
        <v>3</v>
      </c>
      <c r="H29" s="22" t="s">
        <v>742</v>
      </c>
      <c r="I29" s="3" t="n">
        <v>5</v>
      </c>
    </row>
    <row r="30" customFormat="false" ht="15" hidden="false" customHeight="false" outlineLevel="0" collapsed="false">
      <c r="A30" s="3" t="s">
        <v>743</v>
      </c>
      <c r="B30" s="22" t="s">
        <v>744</v>
      </c>
      <c r="C30" s="3" t="n">
        <v>14</v>
      </c>
      <c r="D30" s="22" t="s">
        <v>745</v>
      </c>
      <c r="E30" s="3" t="n">
        <v>2</v>
      </c>
      <c r="F30" s="22" t="s">
        <v>746</v>
      </c>
      <c r="G30" s="3" t="n">
        <v>1</v>
      </c>
      <c r="H30" s="22" t="s">
        <v>747</v>
      </c>
      <c r="I30" s="3" t="n">
        <v>4</v>
      </c>
    </row>
    <row r="31" customFormat="false" ht="15" hidden="false" customHeight="false" outlineLevel="0" collapsed="false">
      <c r="A31" s="3" t="s">
        <v>748</v>
      </c>
      <c r="B31" s="22" t="s">
        <v>749</v>
      </c>
      <c r="C31" s="3" t="n">
        <v>12</v>
      </c>
      <c r="D31" s="22" t="s">
        <v>749</v>
      </c>
      <c r="E31" s="3" t="n">
        <v>0</v>
      </c>
      <c r="F31" s="22" t="s">
        <v>750</v>
      </c>
      <c r="G31" s="3" t="n">
        <v>1</v>
      </c>
      <c r="H31" s="22" t="s">
        <v>751</v>
      </c>
      <c r="I31" s="3" t="n">
        <v>6</v>
      </c>
    </row>
    <row r="32" customFormat="false" ht="15" hidden="false" customHeight="false" outlineLevel="0" collapsed="false">
      <c r="A32" s="3" t="s">
        <v>752</v>
      </c>
      <c r="B32" s="22" t="s">
        <v>753</v>
      </c>
      <c r="C32" s="3" t="n">
        <v>16</v>
      </c>
      <c r="D32" s="22" t="s">
        <v>754</v>
      </c>
      <c r="E32" s="3" t="n">
        <v>1</v>
      </c>
      <c r="F32" s="22" t="s">
        <v>755</v>
      </c>
      <c r="G32" s="3" t="n">
        <v>2</v>
      </c>
      <c r="H32" s="22" t="s">
        <v>756</v>
      </c>
      <c r="I32" s="3" t="n">
        <v>7</v>
      </c>
    </row>
    <row r="33" customFormat="false" ht="15" hidden="false" customHeight="false" outlineLevel="0" collapsed="false">
      <c r="A33" s="3" t="s">
        <v>757</v>
      </c>
      <c r="B33" s="22" t="s">
        <v>758</v>
      </c>
      <c r="C33" s="3" t="n">
        <v>5</v>
      </c>
      <c r="D33" s="22" t="s">
        <v>759</v>
      </c>
      <c r="E33" s="3" t="n">
        <v>0</v>
      </c>
      <c r="F33" s="22" t="s">
        <v>760</v>
      </c>
      <c r="G33" s="3" t="n">
        <v>1</v>
      </c>
      <c r="H33" s="22" t="s">
        <v>761</v>
      </c>
      <c r="I33" s="3" t="n">
        <v>2</v>
      </c>
    </row>
    <row r="34" customFormat="false" ht="15" hidden="false" customHeight="false" outlineLevel="0" collapsed="false">
      <c r="A34" s="3" t="s">
        <v>762</v>
      </c>
      <c r="B34" s="22" t="s">
        <v>763</v>
      </c>
      <c r="C34" s="3" t="n">
        <v>8</v>
      </c>
      <c r="D34" s="22" t="s">
        <v>764</v>
      </c>
      <c r="E34" s="3" t="n">
        <v>3</v>
      </c>
      <c r="F34" s="22" t="s">
        <v>765</v>
      </c>
      <c r="G34" s="3" t="n">
        <v>4</v>
      </c>
      <c r="H34" s="22" t="s">
        <v>766</v>
      </c>
      <c r="I34" s="3" t="n">
        <v>5</v>
      </c>
    </row>
    <row r="35" customFormat="false" ht="15" hidden="false" customHeight="false" outlineLevel="0" collapsed="false">
      <c r="A35" s="3" t="s">
        <v>767</v>
      </c>
      <c r="B35" s="22" t="s">
        <v>768</v>
      </c>
      <c r="C35" s="3" t="n">
        <v>14</v>
      </c>
      <c r="D35" s="22" t="s">
        <v>769</v>
      </c>
      <c r="E35" s="3" t="n">
        <v>0</v>
      </c>
      <c r="F35" s="22" t="s">
        <v>769</v>
      </c>
      <c r="G35" s="3" t="n">
        <v>0</v>
      </c>
      <c r="H35" s="22" t="s">
        <v>770</v>
      </c>
      <c r="I35" s="3" t="n">
        <v>4</v>
      </c>
    </row>
    <row r="36" customFormat="false" ht="15" hidden="false" customHeight="false" outlineLevel="0" collapsed="false">
      <c r="A36" s="3" t="s">
        <v>771</v>
      </c>
      <c r="B36" s="22" t="s">
        <v>772</v>
      </c>
      <c r="C36" s="3" t="n">
        <v>8</v>
      </c>
      <c r="D36" s="22" t="s">
        <v>772</v>
      </c>
      <c r="E36" s="3" t="n">
        <v>0</v>
      </c>
      <c r="F36" s="22" t="s">
        <v>772</v>
      </c>
      <c r="G36" s="3" t="n">
        <v>0</v>
      </c>
      <c r="H36" s="22" t="s">
        <v>773</v>
      </c>
      <c r="I36" s="3" t="n">
        <v>1</v>
      </c>
    </row>
    <row r="37" customFormat="false" ht="15" hidden="false" customHeight="false" outlineLevel="0" collapsed="false">
      <c r="A37" s="3" t="s">
        <v>774</v>
      </c>
      <c r="B37" s="22" t="s">
        <v>775</v>
      </c>
      <c r="C37" s="3" t="n">
        <v>7</v>
      </c>
      <c r="D37" s="22" t="s">
        <v>776</v>
      </c>
      <c r="E37" s="3" t="n">
        <v>0</v>
      </c>
      <c r="F37" s="22" t="s">
        <v>777</v>
      </c>
      <c r="G37" s="3" t="n">
        <v>2</v>
      </c>
      <c r="H37" s="22" t="s">
        <v>778</v>
      </c>
      <c r="I37" s="3" t="n">
        <v>4</v>
      </c>
    </row>
    <row r="38" customFormat="false" ht="15" hidden="false" customHeight="false" outlineLevel="0" collapsed="false">
      <c r="A38" s="3" t="s">
        <v>779</v>
      </c>
      <c r="B38" s="22" t="s">
        <v>780</v>
      </c>
      <c r="C38" s="3" t="n">
        <v>10</v>
      </c>
      <c r="D38" s="22" t="s">
        <v>781</v>
      </c>
      <c r="E38" s="3" t="n">
        <v>1</v>
      </c>
      <c r="F38" s="22" t="s">
        <v>782</v>
      </c>
      <c r="G38" s="3" t="n">
        <v>4</v>
      </c>
      <c r="H38" s="22" t="s">
        <v>783</v>
      </c>
      <c r="I38" s="3" t="n">
        <v>3</v>
      </c>
    </row>
    <row r="39" customFormat="false" ht="15" hidden="false" customHeight="false" outlineLevel="0" collapsed="false">
      <c r="A39" s="3" t="s">
        <v>784</v>
      </c>
      <c r="B39" s="22" t="s">
        <v>785</v>
      </c>
      <c r="C39" s="3" t="n">
        <v>5</v>
      </c>
      <c r="D39" s="22" t="s">
        <v>786</v>
      </c>
      <c r="E39" s="3" t="n">
        <v>0</v>
      </c>
      <c r="F39" s="22" t="s">
        <v>786</v>
      </c>
      <c r="G39" s="3" t="n">
        <v>0</v>
      </c>
      <c r="H39" s="22" t="s">
        <v>787</v>
      </c>
      <c r="I39" s="3" t="n">
        <v>1</v>
      </c>
    </row>
    <row r="40" customFormat="false" ht="15" hidden="false" customHeight="false" outlineLevel="0" collapsed="false">
      <c r="A40" s="3" t="s">
        <v>788</v>
      </c>
      <c r="B40" s="22" t="s">
        <v>789</v>
      </c>
      <c r="C40" s="3" t="n">
        <v>9</v>
      </c>
      <c r="D40" s="22" t="s">
        <v>789</v>
      </c>
      <c r="E40" s="3" t="n">
        <v>0</v>
      </c>
      <c r="F40" s="22" t="s">
        <v>790</v>
      </c>
      <c r="G40" s="3" t="n">
        <v>1</v>
      </c>
      <c r="H40" s="22" t="s">
        <v>791</v>
      </c>
      <c r="I40" s="3" t="n">
        <v>1</v>
      </c>
    </row>
    <row r="41" customFormat="false" ht="15" hidden="false" customHeight="false" outlineLevel="0" collapsed="false">
      <c r="A41" s="3" t="s">
        <v>792</v>
      </c>
      <c r="B41" s="22" t="s">
        <v>793</v>
      </c>
      <c r="C41" s="3" t="n">
        <v>10</v>
      </c>
      <c r="D41" s="22" t="s">
        <v>794</v>
      </c>
      <c r="E41" s="3" t="n">
        <v>0</v>
      </c>
      <c r="F41" s="22" t="s">
        <v>795</v>
      </c>
      <c r="G41" s="3" t="n">
        <v>1</v>
      </c>
      <c r="H41" s="22" t="s">
        <v>796</v>
      </c>
      <c r="I41" s="3" t="n">
        <v>4</v>
      </c>
    </row>
    <row r="42" customFormat="false" ht="15" hidden="false" customHeight="false" outlineLevel="0" collapsed="false">
      <c r="A42" s="3" t="s">
        <v>797</v>
      </c>
      <c r="B42" s="22" t="s">
        <v>798</v>
      </c>
      <c r="C42" s="3" t="n">
        <v>9</v>
      </c>
      <c r="D42" s="22" t="s">
        <v>798</v>
      </c>
      <c r="E42" s="3" t="n">
        <v>0</v>
      </c>
      <c r="F42" s="22" t="s">
        <v>799</v>
      </c>
      <c r="G42" s="3" t="n">
        <v>0</v>
      </c>
      <c r="H42" s="22" t="s">
        <v>800</v>
      </c>
      <c r="I42" s="3" t="n">
        <v>1</v>
      </c>
    </row>
    <row r="43" customFormat="false" ht="15" hidden="false" customHeight="false" outlineLevel="0" collapsed="false">
      <c r="A43" s="3" t="s">
        <v>801</v>
      </c>
      <c r="B43" s="22" t="s">
        <v>802</v>
      </c>
      <c r="C43" s="3" t="n">
        <v>21</v>
      </c>
      <c r="D43" s="22" t="s">
        <v>803</v>
      </c>
      <c r="E43" s="3" t="n">
        <v>2</v>
      </c>
      <c r="F43" s="22" t="s">
        <v>804</v>
      </c>
      <c r="G43" s="3" t="n">
        <v>4</v>
      </c>
      <c r="H43" s="22" t="s">
        <v>805</v>
      </c>
      <c r="I43" s="3" t="n">
        <v>7</v>
      </c>
    </row>
    <row r="44" customFormat="false" ht="15" hidden="false" customHeight="false" outlineLevel="0" collapsed="false">
      <c r="A44" s="3" t="s">
        <v>806</v>
      </c>
      <c r="B44" s="22" t="s">
        <v>807</v>
      </c>
      <c r="C44" s="3" t="n">
        <v>17</v>
      </c>
      <c r="D44" s="22" t="s">
        <v>808</v>
      </c>
      <c r="E44" s="3" t="n">
        <v>3</v>
      </c>
      <c r="F44" s="22" t="s">
        <v>809</v>
      </c>
      <c r="G44" s="3" t="n">
        <v>6</v>
      </c>
      <c r="H44" s="22" t="s">
        <v>810</v>
      </c>
      <c r="I44" s="3" t="n">
        <v>8</v>
      </c>
    </row>
    <row r="45" customFormat="false" ht="15" hidden="false" customHeight="false" outlineLevel="0" collapsed="false">
      <c r="A45" s="3" t="s">
        <v>811</v>
      </c>
      <c r="B45" s="22" t="s">
        <v>812</v>
      </c>
      <c r="C45" s="3" t="n">
        <v>6</v>
      </c>
      <c r="D45" s="22" t="s">
        <v>813</v>
      </c>
      <c r="E45" s="3" t="n">
        <v>3</v>
      </c>
      <c r="F45" s="22" t="s">
        <v>812</v>
      </c>
      <c r="G45" s="3" t="n">
        <v>0</v>
      </c>
      <c r="H45" s="22" t="s">
        <v>814</v>
      </c>
      <c r="I45" s="3" t="n">
        <v>2</v>
      </c>
    </row>
    <row r="46" customFormat="false" ht="15" hidden="false" customHeight="false" outlineLevel="0" collapsed="false">
      <c r="A46" s="3" t="s">
        <v>815</v>
      </c>
      <c r="B46" s="22" t="s">
        <v>816</v>
      </c>
      <c r="C46" s="3" t="n">
        <v>11</v>
      </c>
      <c r="D46" s="22" t="s">
        <v>817</v>
      </c>
      <c r="E46" s="3" t="n">
        <v>0</v>
      </c>
      <c r="F46" s="22" t="s">
        <v>818</v>
      </c>
      <c r="G46" s="3" t="n">
        <v>1</v>
      </c>
      <c r="H46" s="22" t="s">
        <v>819</v>
      </c>
      <c r="I46" s="3" t="n">
        <v>4</v>
      </c>
    </row>
    <row r="47" customFormat="false" ht="15" hidden="false" customHeight="false" outlineLevel="0" collapsed="false">
      <c r="A47" s="3" t="s">
        <v>820</v>
      </c>
      <c r="B47" s="22" t="s">
        <v>821</v>
      </c>
      <c r="C47" s="3" t="n">
        <v>8</v>
      </c>
      <c r="D47" s="22" t="s">
        <v>822</v>
      </c>
      <c r="E47" s="3" t="n">
        <v>2</v>
      </c>
      <c r="F47" s="22" t="s">
        <v>823</v>
      </c>
      <c r="G47" s="3" t="n">
        <v>3</v>
      </c>
      <c r="H47" s="22" t="s">
        <v>824</v>
      </c>
      <c r="I47" s="3" t="n">
        <v>3</v>
      </c>
    </row>
    <row r="48" customFormat="false" ht="15" hidden="false" customHeight="false" outlineLevel="0" collapsed="false">
      <c r="A48" s="3" t="s">
        <v>825</v>
      </c>
      <c r="B48" s="22" t="s">
        <v>826</v>
      </c>
      <c r="C48" s="3" t="n">
        <v>7</v>
      </c>
      <c r="D48" s="22" t="s">
        <v>826</v>
      </c>
      <c r="E48" s="3" t="n">
        <v>0</v>
      </c>
      <c r="F48" s="22" t="s">
        <v>827</v>
      </c>
      <c r="G48" s="3" t="n">
        <v>1</v>
      </c>
      <c r="H48" s="22" t="s">
        <v>828</v>
      </c>
      <c r="I48" s="3" t="n">
        <v>2</v>
      </c>
    </row>
    <row r="49" customFormat="false" ht="15" hidden="false" customHeight="false" outlineLevel="0" collapsed="false">
      <c r="A49" s="3" t="s">
        <v>829</v>
      </c>
      <c r="B49" s="22" t="s">
        <v>830</v>
      </c>
      <c r="C49" s="3" t="n">
        <v>11</v>
      </c>
      <c r="D49" s="22" t="s">
        <v>831</v>
      </c>
      <c r="E49" s="3" t="n">
        <v>0</v>
      </c>
      <c r="F49" s="22" t="s">
        <v>832</v>
      </c>
      <c r="G49" s="3" t="n">
        <v>1</v>
      </c>
      <c r="H49" s="22" t="s">
        <v>833</v>
      </c>
      <c r="I49" s="3" t="n">
        <v>1</v>
      </c>
    </row>
    <row r="50" customFormat="false" ht="15" hidden="false" customHeight="false" outlineLevel="0" collapsed="false">
      <c r="A50" s="3" t="s">
        <v>834</v>
      </c>
      <c r="B50" s="22" t="s">
        <v>835</v>
      </c>
      <c r="C50" s="3" t="n">
        <v>6</v>
      </c>
      <c r="D50" s="22" t="s">
        <v>836</v>
      </c>
      <c r="E50" s="3" t="n">
        <v>1</v>
      </c>
      <c r="F50" s="22" t="s">
        <v>837</v>
      </c>
      <c r="G50" s="3" t="n">
        <v>2</v>
      </c>
      <c r="H50" s="22" t="s">
        <v>837</v>
      </c>
      <c r="I50" s="3" t="n">
        <v>2</v>
      </c>
    </row>
    <row r="51" customFormat="false" ht="15" hidden="false" customHeight="false" outlineLevel="0" collapsed="false">
      <c r="A51" s="3" t="s">
        <v>838</v>
      </c>
      <c r="B51" s="22" t="s">
        <v>839</v>
      </c>
      <c r="C51" s="3" t="n">
        <v>13</v>
      </c>
      <c r="D51" s="22" t="s">
        <v>840</v>
      </c>
      <c r="E51" s="3" t="n">
        <v>2</v>
      </c>
      <c r="F51" s="22" t="s">
        <v>841</v>
      </c>
      <c r="G51" s="3" t="n">
        <v>6</v>
      </c>
      <c r="H51" s="22" t="s">
        <v>842</v>
      </c>
      <c r="I51" s="3" t="n">
        <v>5</v>
      </c>
    </row>
    <row r="52" customFormat="false" ht="15" hidden="false" customHeight="false" outlineLevel="0" collapsed="false">
      <c r="A52" s="3" t="s">
        <v>843</v>
      </c>
      <c r="B52" s="22" t="s">
        <v>844</v>
      </c>
      <c r="C52" s="3" t="n">
        <v>15</v>
      </c>
      <c r="D52" s="22" t="s">
        <v>845</v>
      </c>
      <c r="E52" s="3" t="n">
        <v>0</v>
      </c>
      <c r="F52" s="22" t="s">
        <v>845</v>
      </c>
      <c r="G52" s="3" t="n">
        <v>0</v>
      </c>
      <c r="H52" s="22" t="s">
        <v>846</v>
      </c>
      <c r="I52" s="3" t="n">
        <v>4</v>
      </c>
    </row>
    <row r="53" customFormat="false" ht="15" hidden="false" customHeight="false" outlineLevel="0" collapsed="false">
      <c r="A53" s="3" t="s">
        <v>847</v>
      </c>
      <c r="B53" s="22" t="s">
        <v>848</v>
      </c>
      <c r="C53" s="3" t="n">
        <v>5</v>
      </c>
      <c r="D53" s="22" t="s">
        <v>849</v>
      </c>
      <c r="E53" s="3" t="n">
        <v>3</v>
      </c>
      <c r="F53" s="22" t="s">
        <v>850</v>
      </c>
      <c r="G53" s="3" t="n">
        <v>1</v>
      </c>
      <c r="H53" s="22" t="s">
        <v>851</v>
      </c>
      <c r="I53" s="3" t="n">
        <v>2</v>
      </c>
    </row>
    <row r="54" customFormat="false" ht="15" hidden="false" customHeight="false" outlineLevel="0" collapsed="false">
      <c r="A54" s="3" t="s">
        <v>852</v>
      </c>
      <c r="B54" s="22" t="s">
        <v>853</v>
      </c>
      <c r="C54" s="3" t="n">
        <v>6</v>
      </c>
      <c r="D54" s="22" t="s">
        <v>854</v>
      </c>
      <c r="E54" s="3" t="n">
        <v>3</v>
      </c>
      <c r="F54" s="22" t="s">
        <v>855</v>
      </c>
      <c r="G54" s="3" t="n">
        <v>2</v>
      </c>
      <c r="H54" s="22" t="s">
        <v>856</v>
      </c>
      <c r="I54" s="3" t="n">
        <v>2</v>
      </c>
    </row>
    <row r="55" customFormat="false" ht="15" hidden="false" customHeight="false" outlineLevel="0" collapsed="false">
      <c r="A55" s="3" t="s">
        <v>857</v>
      </c>
      <c r="B55" s="22" t="s">
        <v>858</v>
      </c>
      <c r="C55" s="3" t="n">
        <v>7</v>
      </c>
      <c r="D55" s="22" t="s">
        <v>858</v>
      </c>
      <c r="E55" s="3" t="n">
        <v>0</v>
      </c>
      <c r="F55" s="22" t="s">
        <v>859</v>
      </c>
      <c r="G55" s="3" t="n">
        <v>0</v>
      </c>
      <c r="H55" s="22" t="s">
        <v>860</v>
      </c>
      <c r="I55" s="3" t="n">
        <v>4</v>
      </c>
    </row>
    <row r="56" customFormat="false" ht="15" hidden="false" customHeight="false" outlineLevel="0" collapsed="false">
      <c r="A56" s="3" t="s">
        <v>861</v>
      </c>
      <c r="B56" s="22" t="s">
        <v>862</v>
      </c>
      <c r="C56" s="3" t="n">
        <v>10</v>
      </c>
      <c r="D56" s="22" t="s">
        <v>863</v>
      </c>
      <c r="E56" s="3" t="n">
        <v>1</v>
      </c>
      <c r="F56" s="22" t="s">
        <v>864</v>
      </c>
      <c r="G56" s="3" t="n">
        <v>5</v>
      </c>
      <c r="H56" s="22" t="s">
        <v>865</v>
      </c>
      <c r="I56" s="3" t="n">
        <v>4</v>
      </c>
    </row>
    <row r="57" customFormat="false" ht="15" hidden="false" customHeight="false" outlineLevel="0" collapsed="false">
      <c r="A57" s="3" t="s">
        <v>866</v>
      </c>
      <c r="B57" s="22" t="s">
        <v>867</v>
      </c>
      <c r="C57" s="3" t="n">
        <v>14</v>
      </c>
      <c r="D57" s="22" t="s">
        <v>867</v>
      </c>
      <c r="E57" s="3" t="n">
        <v>0</v>
      </c>
      <c r="F57" s="22" t="s">
        <v>868</v>
      </c>
      <c r="G57" s="3" t="n">
        <v>0</v>
      </c>
      <c r="H57" s="22" t="s">
        <v>869</v>
      </c>
      <c r="I57" s="3" t="n">
        <v>2</v>
      </c>
    </row>
    <row r="58" customFormat="false" ht="15" hidden="false" customHeight="false" outlineLevel="0" collapsed="false">
      <c r="A58" s="3" t="s">
        <v>870</v>
      </c>
      <c r="B58" s="22" t="s">
        <v>871</v>
      </c>
      <c r="C58" s="3" t="n">
        <v>7</v>
      </c>
      <c r="D58" s="22" t="s">
        <v>872</v>
      </c>
      <c r="E58" s="3" t="n">
        <v>2</v>
      </c>
      <c r="F58" s="22" t="s">
        <v>873</v>
      </c>
      <c r="G58" s="3" t="n">
        <v>1</v>
      </c>
      <c r="H58" s="22" t="s">
        <v>874</v>
      </c>
      <c r="I58" s="3" t="n">
        <v>4</v>
      </c>
    </row>
    <row r="59" customFormat="false" ht="15" hidden="false" customHeight="false" outlineLevel="0" collapsed="false">
      <c r="A59" s="3" t="s">
        <v>875</v>
      </c>
      <c r="B59" s="22" t="s">
        <v>876</v>
      </c>
      <c r="C59" s="3" t="n">
        <v>10</v>
      </c>
      <c r="D59" s="22" t="s">
        <v>876</v>
      </c>
      <c r="E59" s="3" t="n">
        <v>0</v>
      </c>
      <c r="F59" s="22" t="s">
        <v>877</v>
      </c>
      <c r="G59" s="3" t="n">
        <v>4</v>
      </c>
      <c r="H59" s="22" t="s">
        <v>878</v>
      </c>
      <c r="I59" s="3" t="n">
        <v>2</v>
      </c>
    </row>
    <row r="60" customFormat="false" ht="15" hidden="false" customHeight="false" outlineLevel="0" collapsed="false">
      <c r="A60" s="3" t="s">
        <v>879</v>
      </c>
      <c r="B60" s="22" t="s">
        <v>880</v>
      </c>
      <c r="C60" s="3" t="n">
        <v>8</v>
      </c>
      <c r="D60" s="22" t="s">
        <v>880</v>
      </c>
      <c r="E60" s="3" t="n">
        <v>0</v>
      </c>
      <c r="F60" s="22" t="s">
        <v>880</v>
      </c>
      <c r="G60" s="3" t="n">
        <v>0</v>
      </c>
      <c r="H60" s="22" t="s">
        <v>880</v>
      </c>
      <c r="I60" s="3" t="n">
        <v>0</v>
      </c>
    </row>
    <row r="61" customFormat="false" ht="15" hidden="false" customHeight="false" outlineLevel="0" collapsed="false">
      <c r="A61" s="3" t="s">
        <v>881</v>
      </c>
      <c r="B61" s="22" t="s">
        <v>882</v>
      </c>
      <c r="C61" s="3" t="n">
        <v>16</v>
      </c>
      <c r="D61" s="22" t="s">
        <v>882</v>
      </c>
      <c r="E61" s="3" t="n">
        <v>0</v>
      </c>
      <c r="F61" s="22" t="s">
        <v>883</v>
      </c>
      <c r="G61" s="3" t="n">
        <v>4</v>
      </c>
      <c r="H61" s="22" t="s">
        <v>884</v>
      </c>
      <c r="I61" s="3" t="n">
        <v>5</v>
      </c>
    </row>
    <row r="62" customFormat="false" ht="15" hidden="false" customHeight="false" outlineLevel="0" collapsed="false">
      <c r="A62" s="3" t="s">
        <v>885</v>
      </c>
      <c r="B62" s="22" t="s">
        <v>886</v>
      </c>
      <c r="C62" s="3" t="n">
        <v>17</v>
      </c>
      <c r="D62" s="22" t="s">
        <v>886</v>
      </c>
      <c r="E62" s="3" t="n">
        <v>0</v>
      </c>
      <c r="F62" s="22" t="s">
        <v>887</v>
      </c>
      <c r="G62" s="3" t="n">
        <v>3</v>
      </c>
      <c r="H62" s="22" t="s">
        <v>888</v>
      </c>
      <c r="I62" s="3" t="n">
        <v>4</v>
      </c>
    </row>
    <row r="63" customFormat="false" ht="15" hidden="false" customHeight="false" outlineLevel="0" collapsed="false">
      <c r="A63" s="3" t="s">
        <v>889</v>
      </c>
      <c r="B63" s="22" t="s">
        <v>890</v>
      </c>
      <c r="C63" s="3" t="n">
        <v>11</v>
      </c>
      <c r="D63" s="22" t="s">
        <v>890</v>
      </c>
      <c r="E63" s="3" t="n">
        <v>0</v>
      </c>
      <c r="F63" s="22" t="s">
        <v>891</v>
      </c>
      <c r="G63" s="3" t="n">
        <v>1</v>
      </c>
      <c r="H63" s="22" t="s">
        <v>892</v>
      </c>
      <c r="I63" s="3" t="n">
        <v>4</v>
      </c>
    </row>
    <row r="64" customFormat="false" ht="15" hidden="false" customHeight="false" outlineLevel="0" collapsed="false">
      <c r="A64" s="3" t="s">
        <v>893</v>
      </c>
      <c r="B64" s="22" t="s">
        <v>894</v>
      </c>
      <c r="C64" s="3" t="n">
        <v>11</v>
      </c>
      <c r="D64" s="22" t="s">
        <v>894</v>
      </c>
      <c r="E64" s="3" t="n">
        <v>0</v>
      </c>
      <c r="F64" s="22" t="s">
        <v>894</v>
      </c>
      <c r="G64" s="3" t="n">
        <v>0</v>
      </c>
      <c r="H64" s="22" t="s">
        <v>895</v>
      </c>
      <c r="I64" s="3" t="n">
        <v>3</v>
      </c>
    </row>
    <row r="65" customFormat="false" ht="15" hidden="false" customHeight="false" outlineLevel="0" collapsed="false">
      <c r="A65" s="3" t="s">
        <v>896</v>
      </c>
      <c r="B65" s="22" t="s">
        <v>897</v>
      </c>
      <c r="C65" s="3" t="n">
        <v>10</v>
      </c>
      <c r="D65" s="22" t="s">
        <v>897</v>
      </c>
      <c r="E65" s="3" t="n">
        <v>0</v>
      </c>
      <c r="F65" s="22" t="s">
        <v>898</v>
      </c>
      <c r="G65" s="3" t="n">
        <v>1</v>
      </c>
      <c r="H65" s="22" t="s">
        <v>899</v>
      </c>
      <c r="I65" s="3" t="n">
        <v>3</v>
      </c>
    </row>
    <row r="66" customFormat="false" ht="15" hidden="false" customHeight="false" outlineLevel="0" collapsed="false">
      <c r="A66" s="3" t="s">
        <v>900</v>
      </c>
      <c r="B66" s="22" t="s">
        <v>901</v>
      </c>
      <c r="C66" s="3" t="n">
        <v>6</v>
      </c>
      <c r="D66" s="22" t="s">
        <v>901</v>
      </c>
      <c r="E66" s="3" t="n">
        <v>0</v>
      </c>
      <c r="F66" s="22" t="s">
        <v>902</v>
      </c>
      <c r="G66" s="3" t="n">
        <v>1</v>
      </c>
      <c r="H66" s="22" t="s">
        <v>903</v>
      </c>
      <c r="I66" s="3" t="n">
        <v>1</v>
      </c>
    </row>
    <row r="67" customFormat="false" ht="15" hidden="false" customHeight="false" outlineLevel="0" collapsed="false">
      <c r="A67" s="3" t="s">
        <v>904</v>
      </c>
      <c r="B67" s="22" t="s">
        <v>905</v>
      </c>
      <c r="C67" s="3" t="n">
        <v>5</v>
      </c>
      <c r="D67" s="22" t="s">
        <v>906</v>
      </c>
      <c r="E67" s="3" t="n">
        <v>0</v>
      </c>
      <c r="F67" s="22" t="s">
        <v>907</v>
      </c>
      <c r="G67" s="3" t="n">
        <v>2</v>
      </c>
      <c r="H67" s="22" t="s">
        <v>908</v>
      </c>
      <c r="I67" s="3" t="n">
        <v>2</v>
      </c>
    </row>
    <row r="68" customFormat="false" ht="15" hidden="false" customHeight="false" outlineLevel="0" collapsed="false">
      <c r="A68" s="3" t="s">
        <v>909</v>
      </c>
      <c r="B68" s="22" t="s">
        <v>910</v>
      </c>
      <c r="C68" s="3" t="n">
        <v>15</v>
      </c>
      <c r="D68" s="22" t="s">
        <v>911</v>
      </c>
      <c r="E68" s="3" t="n">
        <v>1</v>
      </c>
      <c r="F68" s="22" t="s">
        <v>912</v>
      </c>
      <c r="G68" s="3" t="n">
        <v>3</v>
      </c>
      <c r="H68" s="22" t="s">
        <v>913</v>
      </c>
      <c r="I68" s="3" t="n">
        <v>3</v>
      </c>
    </row>
    <row r="69" customFormat="false" ht="15" hidden="false" customHeight="false" outlineLevel="0" collapsed="false">
      <c r="A69" s="3" t="s">
        <v>914</v>
      </c>
      <c r="B69" s="22" t="s">
        <v>915</v>
      </c>
      <c r="C69" s="3" t="n">
        <v>16</v>
      </c>
      <c r="D69" s="22" t="s">
        <v>915</v>
      </c>
      <c r="E69" s="3" t="n">
        <v>0</v>
      </c>
      <c r="F69" s="22" t="s">
        <v>915</v>
      </c>
      <c r="G69" s="3" t="n">
        <v>0</v>
      </c>
      <c r="H69" s="22" t="s">
        <v>916</v>
      </c>
      <c r="I69" s="3" t="n">
        <v>1</v>
      </c>
    </row>
    <row r="70" customFormat="false" ht="15" hidden="false" customHeight="false" outlineLevel="0" collapsed="false">
      <c r="A70" s="3" t="s">
        <v>917</v>
      </c>
      <c r="B70" s="22" t="s">
        <v>918</v>
      </c>
      <c r="C70" s="3" t="n">
        <v>9</v>
      </c>
      <c r="D70" s="22" t="s">
        <v>919</v>
      </c>
      <c r="E70" s="3" t="n">
        <v>0</v>
      </c>
      <c r="F70" s="22" t="s">
        <v>920</v>
      </c>
      <c r="G70" s="3" t="n">
        <v>1</v>
      </c>
      <c r="H70" s="22" t="s">
        <v>920</v>
      </c>
      <c r="I70" s="3" t="n">
        <v>1</v>
      </c>
    </row>
    <row r="71" customFormat="false" ht="15" hidden="false" customHeight="false" outlineLevel="0" collapsed="false">
      <c r="A71" s="3" t="s">
        <v>921</v>
      </c>
      <c r="B71" s="22" t="s">
        <v>922</v>
      </c>
      <c r="C71" s="3" t="n">
        <v>13</v>
      </c>
      <c r="D71" s="22" t="s">
        <v>923</v>
      </c>
      <c r="E71" s="3" t="n">
        <v>0</v>
      </c>
      <c r="F71" s="22" t="s">
        <v>924</v>
      </c>
      <c r="G71" s="3" t="n">
        <v>2</v>
      </c>
      <c r="H71" s="22" t="s">
        <v>925</v>
      </c>
      <c r="I71" s="3" t="n">
        <v>3</v>
      </c>
    </row>
    <row r="72" customFormat="false" ht="15" hidden="false" customHeight="false" outlineLevel="0" collapsed="false">
      <c r="A72" s="3" t="s">
        <v>926</v>
      </c>
      <c r="B72" s="22" t="s">
        <v>927</v>
      </c>
      <c r="C72" s="3" t="n">
        <v>6</v>
      </c>
      <c r="D72" s="22" t="s">
        <v>927</v>
      </c>
      <c r="E72" s="3" t="n">
        <v>0</v>
      </c>
      <c r="F72" s="22" t="s">
        <v>928</v>
      </c>
      <c r="G72" s="3" t="n">
        <v>1</v>
      </c>
      <c r="H72" s="22" t="s">
        <v>929</v>
      </c>
      <c r="I72" s="3" t="n">
        <v>2</v>
      </c>
    </row>
    <row r="73" customFormat="false" ht="15" hidden="false" customHeight="false" outlineLevel="0" collapsed="false">
      <c r="A73" s="3" t="s">
        <v>930</v>
      </c>
      <c r="B73" s="22" t="s">
        <v>931</v>
      </c>
      <c r="C73" s="3" t="n">
        <v>12</v>
      </c>
      <c r="D73" s="22" t="s">
        <v>932</v>
      </c>
      <c r="E73" s="3" t="n">
        <v>2</v>
      </c>
      <c r="F73" s="22" t="s">
        <v>933</v>
      </c>
      <c r="G73" s="3" t="n">
        <v>2</v>
      </c>
      <c r="H73" s="22" t="s">
        <v>934</v>
      </c>
      <c r="I73" s="3" t="n">
        <v>6</v>
      </c>
    </row>
    <row r="74" customFormat="false" ht="15" hidden="false" customHeight="false" outlineLevel="0" collapsed="false">
      <c r="A74" s="3" t="s">
        <v>935</v>
      </c>
      <c r="B74" s="22" t="s">
        <v>936</v>
      </c>
      <c r="C74" s="3" t="n">
        <v>16</v>
      </c>
      <c r="D74" s="22" t="s">
        <v>936</v>
      </c>
      <c r="E74" s="3" t="n">
        <v>0</v>
      </c>
      <c r="F74" s="22" t="s">
        <v>936</v>
      </c>
      <c r="G74" s="3" t="n">
        <v>0</v>
      </c>
      <c r="H74" s="22" t="s">
        <v>937</v>
      </c>
      <c r="I74" s="3" t="n">
        <v>2</v>
      </c>
    </row>
    <row r="75" customFormat="false" ht="15" hidden="false" customHeight="false" outlineLevel="0" collapsed="false">
      <c r="A75" s="3" t="s">
        <v>938</v>
      </c>
      <c r="B75" s="22" t="s">
        <v>939</v>
      </c>
      <c r="C75" s="3" t="n">
        <v>8</v>
      </c>
      <c r="D75" s="22" t="s">
        <v>940</v>
      </c>
      <c r="E75" s="3" t="n">
        <v>3</v>
      </c>
      <c r="F75" s="22" t="s">
        <v>941</v>
      </c>
      <c r="G75" s="3" t="n">
        <v>1</v>
      </c>
      <c r="H75" s="22" t="s">
        <v>942</v>
      </c>
      <c r="I75" s="3" t="n">
        <v>3</v>
      </c>
    </row>
    <row r="76" customFormat="false" ht="15" hidden="false" customHeight="false" outlineLevel="0" collapsed="false">
      <c r="A76" s="3" t="s">
        <v>943</v>
      </c>
      <c r="B76" s="22" t="s">
        <v>944</v>
      </c>
      <c r="C76" s="3" t="n">
        <v>9</v>
      </c>
      <c r="D76" s="22" t="s">
        <v>945</v>
      </c>
      <c r="E76" s="3" t="n">
        <v>2</v>
      </c>
      <c r="F76" s="22" t="s">
        <v>946</v>
      </c>
      <c r="G76" s="3" t="n">
        <v>1</v>
      </c>
      <c r="H76" s="22" t="s">
        <v>946</v>
      </c>
      <c r="I76" s="3" t="n">
        <v>1</v>
      </c>
    </row>
    <row r="77" customFormat="false" ht="15" hidden="false" customHeight="false" outlineLevel="0" collapsed="false">
      <c r="A77" s="3" t="s">
        <v>947</v>
      </c>
      <c r="B77" s="22" t="s">
        <v>948</v>
      </c>
      <c r="C77" s="3" t="n">
        <v>7</v>
      </c>
      <c r="D77" s="22" t="s">
        <v>949</v>
      </c>
      <c r="E77" s="3" t="n">
        <v>4</v>
      </c>
      <c r="F77" s="22" t="s">
        <v>950</v>
      </c>
      <c r="G77" s="3" t="n">
        <v>4</v>
      </c>
      <c r="H77" s="22" t="s">
        <v>951</v>
      </c>
      <c r="I77" s="3" t="n">
        <v>3</v>
      </c>
    </row>
    <row r="78" customFormat="false" ht="15" hidden="false" customHeight="false" outlineLevel="0" collapsed="false">
      <c r="A78" s="3" t="s">
        <v>952</v>
      </c>
      <c r="B78" s="22" t="s">
        <v>953</v>
      </c>
      <c r="C78" s="3" t="n">
        <v>11</v>
      </c>
      <c r="D78" s="22" t="s">
        <v>954</v>
      </c>
      <c r="E78" s="3" t="n">
        <v>1</v>
      </c>
      <c r="F78" s="22" t="s">
        <v>954</v>
      </c>
      <c r="G78" s="3" t="n">
        <v>1</v>
      </c>
      <c r="H78" s="22" t="s">
        <v>955</v>
      </c>
      <c r="I78" s="3" t="n">
        <v>2</v>
      </c>
    </row>
    <row r="79" customFormat="false" ht="15" hidden="false" customHeight="false" outlineLevel="0" collapsed="false">
      <c r="A79" s="3" t="s">
        <v>956</v>
      </c>
      <c r="B79" s="22" t="s">
        <v>957</v>
      </c>
      <c r="C79" s="3" t="n">
        <v>12</v>
      </c>
      <c r="D79" s="22" t="s">
        <v>958</v>
      </c>
      <c r="E79" s="3" t="n">
        <v>0</v>
      </c>
      <c r="F79" s="22" t="s">
        <v>958</v>
      </c>
      <c r="G79" s="3" t="n">
        <v>0</v>
      </c>
      <c r="H79" s="22" t="s">
        <v>959</v>
      </c>
      <c r="I79" s="3" t="n">
        <v>2</v>
      </c>
    </row>
    <row r="80" customFormat="false" ht="15" hidden="false" customHeight="false" outlineLevel="0" collapsed="false">
      <c r="A80" s="3" t="s">
        <v>960</v>
      </c>
      <c r="B80" s="22" t="s">
        <v>961</v>
      </c>
      <c r="C80" s="3" t="n">
        <v>9</v>
      </c>
      <c r="D80" s="22" t="s">
        <v>962</v>
      </c>
      <c r="E80" s="3" t="n">
        <v>1</v>
      </c>
      <c r="F80" s="22" t="s">
        <v>962</v>
      </c>
      <c r="G80" s="3" t="n">
        <v>1</v>
      </c>
      <c r="H80" s="22" t="s">
        <v>963</v>
      </c>
      <c r="I80" s="3" t="n">
        <v>2</v>
      </c>
    </row>
    <row r="81" customFormat="false" ht="15" hidden="false" customHeight="false" outlineLevel="0" collapsed="false">
      <c r="A81" s="3" t="s">
        <v>964</v>
      </c>
      <c r="B81" s="22" t="s">
        <v>965</v>
      </c>
      <c r="C81" s="3" t="n">
        <v>13</v>
      </c>
      <c r="D81" s="22" t="s">
        <v>965</v>
      </c>
      <c r="E81" s="3" t="n">
        <v>0</v>
      </c>
      <c r="F81" s="22" t="s">
        <v>966</v>
      </c>
      <c r="G81" s="3" t="n">
        <v>2</v>
      </c>
      <c r="H81" s="22" t="s">
        <v>967</v>
      </c>
      <c r="I81" s="3" t="n">
        <v>4</v>
      </c>
    </row>
    <row r="82" customFormat="false" ht="17.15" hidden="false" customHeight="false" outlineLevel="0" collapsed="false">
      <c r="A82" s="3" t="s">
        <v>968</v>
      </c>
      <c r="B82" s="22" t="s">
        <v>969</v>
      </c>
      <c r="C82" s="3" t="n">
        <v>20</v>
      </c>
      <c r="D82" s="22" t="s">
        <v>970</v>
      </c>
      <c r="E82" s="3" t="n">
        <v>0</v>
      </c>
      <c r="F82" s="22" t="s">
        <v>971</v>
      </c>
      <c r="G82" s="3" t="n">
        <v>2</v>
      </c>
      <c r="H82" s="22" t="s">
        <v>972</v>
      </c>
      <c r="I82" s="3" t="n">
        <v>2</v>
      </c>
    </row>
    <row r="83" customFormat="false" ht="15" hidden="false" customHeight="false" outlineLevel="0" collapsed="false">
      <c r="A83" s="3" t="s">
        <v>973</v>
      </c>
      <c r="B83" s="22" t="s">
        <v>974</v>
      </c>
      <c r="C83" s="3" t="n">
        <v>10</v>
      </c>
      <c r="D83" s="22" t="s">
        <v>974</v>
      </c>
      <c r="E83" s="3" t="n">
        <v>0</v>
      </c>
      <c r="F83" s="22" t="s">
        <v>975</v>
      </c>
      <c r="G83" s="3" t="n">
        <v>1</v>
      </c>
      <c r="H83" s="22" t="s">
        <v>976</v>
      </c>
      <c r="I83" s="3" t="n">
        <v>2</v>
      </c>
    </row>
    <row r="84" customFormat="false" ht="15" hidden="false" customHeight="false" outlineLevel="0" collapsed="false">
      <c r="A84" s="3" t="s">
        <v>977</v>
      </c>
      <c r="B84" s="22" t="s">
        <v>978</v>
      </c>
      <c r="C84" s="3" t="n">
        <v>9</v>
      </c>
      <c r="D84" s="22" t="s">
        <v>978</v>
      </c>
      <c r="E84" s="3" t="n">
        <v>0</v>
      </c>
      <c r="F84" s="22" t="s">
        <v>979</v>
      </c>
      <c r="G84" s="3" t="n">
        <v>0</v>
      </c>
      <c r="H84" s="22" t="s">
        <v>980</v>
      </c>
      <c r="I84" s="3" t="n">
        <v>2</v>
      </c>
    </row>
    <row r="85" customFormat="false" ht="15" hidden="false" customHeight="false" outlineLevel="0" collapsed="false">
      <c r="A85" s="3" t="s">
        <v>981</v>
      </c>
      <c r="B85" s="22" t="s">
        <v>982</v>
      </c>
      <c r="C85" s="3" t="n">
        <v>10</v>
      </c>
      <c r="D85" s="22" t="s">
        <v>983</v>
      </c>
      <c r="E85" s="3" t="n">
        <v>0</v>
      </c>
      <c r="F85" s="22" t="s">
        <v>983</v>
      </c>
      <c r="G85" s="3" t="n">
        <v>0</v>
      </c>
      <c r="H85" s="22" t="s">
        <v>984</v>
      </c>
      <c r="I85" s="3" t="n">
        <v>2</v>
      </c>
    </row>
    <row r="86" customFormat="false" ht="15" hidden="false" customHeight="false" outlineLevel="0" collapsed="false">
      <c r="A86" s="3" t="s">
        <v>985</v>
      </c>
      <c r="B86" s="22" t="s">
        <v>986</v>
      </c>
      <c r="C86" s="3" t="n">
        <v>7</v>
      </c>
      <c r="D86" s="22" t="s">
        <v>987</v>
      </c>
      <c r="E86" s="3" t="n">
        <v>1</v>
      </c>
      <c r="F86" s="22" t="s">
        <v>987</v>
      </c>
      <c r="G86" s="3" t="n">
        <v>1</v>
      </c>
      <c r="H86" s="22" t="s">
        <v>988</v>
      </c>
      <c r="I86" s="3" t="n">
        <v>3</v>
      </c>
    </row>
    <row r="87" customFormat="false" ht="15" hidden="false" customHeight="false" outlineLevel="0" collapsed="false">
      <c r="A87" s="3" t="s">
        <v>989</v>
      </c>
      <c r="B87" s="22" t="s">
        <v>990</v>
      </c>
      <c r="C87" s="3" t="n">
        <v>5</v>
      </c>
      <c r="D87" s="22" t="s">
        <v>990</v>
      </c>
      <c r="E87" s="3" t="n">
        <v>0</v>
      </c>
      <c r="F87" s="22" t="s">
        <v>990</v>
      </c>
      <c r="G87" s="3" t="n">
        <v>0</v>
      </c>
      <c r="H87" s="22" t="s">
        <v>991</v>
      </c>
      <c r="I87" s="3" t="n">
        <v>2</v>
      </c>
    </row>
    <row r="88" customFormat="false" ht="15" hidden="false" customHeight="false" outlineLevel="0" collapsed="false">
      <c r="A88" s="3" t="s">
        <v>992</v>
      </c>
      <c r="B88" s="22" t="s">
        <v>993</v>
      </c>
      <c r="C88" s="3" t="n">
        <v>11</v>
      </c>
      <c r="D88" s="22" t="s">
        <v>994</v>
      </c>
      <c r="E88" s="3" t="n">
        <v>1</v>
      </c>
      <c r="F88" s="22" t="s">
        <v>995</v>
      </c>
      <c r="G88" s="3" t="n">
        <v>5</v>
      </c>
      <c r="H88" s="22" t="s">
        <v>996</v>
      </c>
      <c r="I88" s="3" t="n">
        <v>5</v>
      </c>
    </row>
    <row r="89" customFormat="false" ht="15" hidden="false" customHeight="false" outlineLevel="0" collapsed="false">
      <c r="A89" s="3" t="s">
        <v>997</v>
      </c>
      <c r="B89" s="22" t="s">
        <v>998</v>
      </c>
      <c r="C89" s="3" t="n">
        <v>8</v>
      </c>
      <c r="D89" s="22" t="s">
        <v>998</v>
      </c>
      <c r="E89" s="3" t="n">
        <v>0</v>
      </c>
      <c r="F89" s="22" t="s">
        <v>998</v>
      </c>
      <c r="G89" s="3" t="n">
        <v>0</v>
      </c>
      <c r="H89" s="22" t="s">
        <v>998</v>
      </c>
      <c r="I89" s="3" t="n">
        <v>0</v>
      </c>
    </row>
    <row r="90" customFormat="false" ht="15" hidden="false" customHeight="false" outlineLevel="0" collapsed="false">
      <c r="A90" s="3" t="s">
        <v>999</v>
      </c>
      <c r="B90" s="22" t="s">
        <v>1000</v>
      </c>
      <c r="C90" s="3" t="n">
        <v>9</v>
      </c>
      <c r="D90" s="22" t="s">
        <v>1001</v>
      </c>
      <c r="E90" s="3" t="n">
        <v>0</v>
      </c>
      <c r="F90" s="22" t="s">
        <v>1002</v>
      </c>
      <c r="G90" s="3" t="n">
        <v>1</v>
      </c>
      <c r="H90" s="22" t="s">
        <v>1003</v>
      </c>
      <c r="I90" s="3" t="n">
        <v>3</v>
      </c>
    </row>
    <row r="91" customFormat="false" ht="15" hidden="false" customHeight="false" outlineLevel="0" collapsed="false">
      <c r="A91" s="3" t="s">
        <v>1004</v>
      </c>
      <c r="B91" s="22" t="s">
        <v>1005</v>
      </c>
      <c r="C91" s="3" t="n">
        <v>9</v>
      </c>
      <c r="D91" s="22" t="s">
        <v>1005</v>
      </c>
      <c r="E91" s="3" t="n">
        <v>0</v>
      </c>
      <c r="F91" s="22" t="s">
        <v>1005</v>
      </c>
      <c r="G91" s="3" t="n">
        <v>0</v>
      </c>
      <c r="H91" s="22" t="s">
        <v>1006</v>
      </c>
      <c r="I91" s="3" t="n">
        <v>2</v>
      </c>
    </row>
    <row r="92" customFormat="false" ht="15" hidden="false" customHeight="false" outlineLevel="0" collapsed="false">
      <c r="A92" s="3" t="s">
        <v>1007</v>
      </c>
      <c r="B92" s="22" t="s">
        <v>1008</v>
      </c>
      <c r="C92" s="3" t="n">
        <v>8</v>
      </c>
      <c r="D92" s="22" t="s">
        <v>1008</v>
      </c>
      <c r="E92" s="3" t="n">
        <v>0</v>
      </c>
      <c r="F92" s="22" t="s">
        <v>1009</v>
      </c>
      <c r="G92" s="3" t="n">
        <v>2</v>
      </c>
      <c r="H92" s="22" t="s">
        <v>1010</v>
      </c>
      <c r="I92" s="3" t="n">
        <v>1</v>
      </c>
    </row>
    <row r="93" customFormat="false" ht="15" hidden="false" customHeight="false" outlineLevel="0" collapsed="false">
      <c r="A93" s="3" t="s">
        <v>1011</v>
      </c>
      <c r="B93" s="22" t="s">
        <v>1012</v>
      </c>
      <c r="C93" s="3" t="n">
        <v>6</v>
      </c>
      <c r="D93" s="22" t="s">
        <v>1013</v>
      </c>
      <c r="E93" s="3" t="n">
        <v>0</v>
      </c>
      <c r="F93" s="22" t="s">
        <v>1013</v>
      </c>
      <c r="G93" s="3" t="n">
        <v>0</v>
      </c>
      <c r="H93" s="22" t="s">
        <v>1013</v>
      </c>
      <c r="I93" s="3" t="n">
        <v>0</v>
      </c>
    </row>
    <row r="94" customFormat="false" ht="15" hidden="false" customHeight="false" outlineLevel="0" collapsed="false">
      <c r="A94" s="3" t="s">
        <v>1014</v>
      </c>
      <c r="B94" s="22" t="s">
        <v>1015</v>
      </c>
      <c r="C94" s="3" t="n">
        <v>18</v>
      </c>
      <c r="D94" s="22" t="s">
        <v>1015</v>
      </c>
      <c r="E94" s="3" t="n">
        <v>0</v>
      </c>
      <c r="F94" s="22" t="s">
        <v>1016</v>
      </c>
      <c r="G94" s="3" t="n">
        <v>1</v>
      </c>
      <c r="H94" s="22" t="s">
        <v>1017</v>
      </c>
      <c r="I94" s="3" t="n">
        <v>3</v>
      </c>
    </row>
    <row r="95" customFormat="false" ht="15" hidden="false" customHeight="false" outlineLevel="0" collapsed="false">
      <c r="A95" s="3" t="s">
        <v>1018</v>
      </c>
      <c r="B95" s="22" t="s">
        <v>1019</v>
      </c>
      <c r="C95" s="3" t="n">
        <v>9</v>
      </c>
      <c r="D95" s="22" t="s">
        <v>1019</v>
      </c>
      <c r="E95" s="3" t="n">
        <v>0</v>
      </c>
      <c r="F95" s="22" t="s">
        <v>1020</v>
      </c>
      <c r="G95" s="3" t="n">
        <v>1</v>
      </c>
      <c r="H95" s="22" t="s">
        <v>1021</v>
      </c>
      <c r="I95" s="3" t="n">
        <v>2</v>
      </c>
    </row>
    <row r="96" customFormat="false" ht="15" hidden="false" customHeight="false" outlineLevel="0" collapsed="false">
      <c r="A96" s="3" t="s">
        <v>1022</v>
      </c>
      <c r="B96" s="22" t="s">
        <v>1023</v>
      </c>
      <c r="C96" s="3" t="n">
        <v>6</v>
      </c>
      <c r="D96" s="22" t="s">
        <v>1023</v>
      </c>
      <c r="E96" s="3" t="n">
        <v>0</v>
      </c>
      <c r="F96" s="22" t="s">
        <v>1024</v>
      </c>
      <c r="G96" s="3" t="n">
        <v>0</v>
      </c>
      <c r="H96" s="22" t="s">
        <v>1025</v>
      </c>
      <c r="I96" s="3" t="n">
        <v>2</v>
      </c>
    </row>
    <row r="97" customFormat="false" ht="15" hidden="false" customHeight="false" outlineLevel="0" collapsed="false">
      <c r="A97" s="3" t="s">
        <v>1026</v>
      </c>
      <c r="B97" s="22" t="s">
        <v>1027</v>
      </c>
      <c r="C97" s="3" t="n">
        <v>15</v>
      </c>
      <c r="D97" s="22" t="s">
        <v>1028</v>
      </c>
      <c r="E97" s="3" t="n">
        <v>2</v>
      </c>
      <c r="F97" s="22" t="s">
        <v>1029</v>
      </c>
      <c r="G97" s="3" t="n">
        <v>5</v>
      </c>
      <c r="H97" s="22" t="s">
        <v>1030</v>
      </c>
      <c r="I97" s="3" t="n">
        <v>3</v>
      </c>
    </row>
    <row r="98" customFormat="false" ht="15" hidden="false" customHeight="false" outlineLevel="0" collapsed="false">
      <c r="A98" s="3" t="s">
        <v>1031</v>
      </c>
      <c r="B98" s="22" t="s">
        <v>1032</v>
      </c>
      <c r="C98" s="3" t="n">
        <v>12</v>
      </c>
      <c r="D98" s="22" t="s">
        <v>1033</v>
      </c>
      <c r="E98" s="3" t="n">
        <v>1</v>
      </c>
      <c r="F98" s="22" t="s">
        <v>1033</v>
      </c>
      <c r="G98" s="3" t="n">
        <v>1</v>
      </c>
      <c r="H98" s="22" t="s">
        <v>1034</v>
      </c>
      <c r="I98" s="3" t="n">
        <v>3</v>
      </c>
    </row>
    <row r="99" customFormat="false" ht="15" hidden="false" customHeight="false" outlineLevel="0" collapsed="false">
      <c r="A99" s="3" t="s">
        <v>1035</v>
      </c>
      <c r="B99" s="22" t="s">
        <v>1036</v>
      </c>
      <c r="C99" s="3" t="n">
        <v>15</v>
      </c>
      <c r="D99" s="22" t="s">
        <v>1036</v>
      </c>
      <c r="E99" s="3" t="n">
        <v>0</v>
      </c>
      <c r="F99" s="22" t="s">
        <v>1037</v>
      </c>
      <c r="G99" s="3" t="n">
        <v>6</v>
      </c>
      <c r="H99" s="22" t="s">
        <v>1038</v>
      </c>
      <c r="I99" s="3" t="n">
        <v>2</v>
      </c>
    </row>
    <row r="100" customFormat="false" ht="15" hidden="false" customHeight="false" outlineLevel="0" collapsed="false">
      <c r="A100" s="3" t="s">
        <v>1039</v>
      </c>
      <c r="B100" s="22" t="s">
        <v>1040</v>
      </c>
      <c r="C100" s="3" t="n">
        <v>9</v>
      </c>
      <c r="D100" s="22" t="s">
        <v>1041</v>
      </c>
      <c r="E100" s="3" t="n">
        <v>0</v>
      </c>
      <c r="F100" s="22" t="s">
        <v>1042</v>
      </c>
      <c r="G100" s="3" t="n">
        <v>1</v>
      </c>
      <c r="H100" s="22" t="s">
        <v>1043</v>
      </c>
      <c r="I100" s="3" t="n">
        <v>2</v>
      </c>
    </row>
    <row r="101" customFormat="false" ht="15" hidden="false" customHeight="false" outlineLevel="0" collapsed="false">
      <c r="A101" s="3" t="s">
        <v>1044</v>
      </c>
      <c r="B101" s="22" t="s">
        <v>1045</v>
      </c>
      <c r="C101" s="3" t="n">
        <v>7</v>
      </c>
      <c r="D101" s="22" t="s">
        <v>1045</v>
      </c>
      <c r="E101" s="3" t="n">
        <v>0</v>
      </c>
      <c r="F101" s="22" t="s">
        <v>1045</v>
      </c>
      <c r="G101" s="3" t="n">
        <v>0</v>
      </c>
      <c r="H101" s="22" t="s">
        <v>1046</v>
      </c>
      <c r="I101" s="3" t="n">
        <v>2</v>
      </c>
    </row>
    <row r="102" customFormat="false" ht="15" hidden="false" customHeight="false" outlineLevel="0" collapsed="false">
      <c r="A102" s="3" t="s">
        <v>1047</v>
      </c>
      <c r="B102" s="22" t="s">
        <v>1048</v>
      </c>
      <c r="C102" s="3" t="n">
        <v>10</v>
      </c>
      <c r="D102" s="22" t="s">
        <v>1049</v>
      </c>
      <c r="E102" s="3" t="n">
        <v>1</v>
      </c>
      <c r="F102" s="22" t="s">
        <v>1050</v>
      </c>
      <c r="G102" s="3" t="n">
        <v>3</v>
      </c>
      <c r="H102" s="22" t="s">
        <v>1051</v>
      </c>
      <c r="I102" s="3" t="n">
        <v>3</v>
      </c>
    </row>
    <row r="103" customFormat="false" ht="15" hidden="false" customHeight="false" outlineLevel="0" collapsed="false">
      <c r="A103" s="3" t="s">
        <v>1052</v>
      </c>
      <c r="B103" s="22" t="s">
        <v>1053</v>
      </c>
      <c r="C103" s="3" t="n">
        <v>16</v>
      </c>
      <c r="D103" s="22" t="s">
        <v>1053</v>
      </c>
      <c r="E103" s="3" t="n">
        <v>0</v>
      </c>
      <c r="F103" s="22" t="s">
        <v>1054</v>
      </c>
      <c r="G103" s="3" t="n">
        <v>2</v>
      </c>
      <c r="H103" s="22" t="s">
        <v>1055</v>
      </c>
      <c r="I103" s="3" t="n">
        <v>2</v>
      </c>
    </row>
    <row r="104" customFormat="false" ht="15" hidden="false" customHeight="false" outlineLevel="0" collapsed="false">
      <c r="A104" s="3" t="s">
        <v>1056</v>
      </c>
      <c r="B104" s="22" t="s">
        <v>1057</v>
      </c>
      <c r="C104" s="3" t="n">
        <v>6</v>
      </c>
      <c r="D104" s="22" t="s">
        <v>1057</v>
      </c>
      <c r="E104" s="3" t="n">
        <v>0</v>
      </c>
      <c r="F104" s="22" t="s">
        <v>1057</v>
      </c>
      <c r="G104" s="3" t="n">
        <v>0</v>
      </c>
      <c r="H104" s="22" t="s">
        <v>1058</v>
      </c>
      <c r="I104" s="3" t="n">
        <v>2</v>
      </c>
    </row>
    <row r="105" customFormat="false" ht="15" hidden="false" customHeight="false" outlineLevel="0" collapsed="false">
      <c r="A105" s="3" t="s">
        <v>1059</v>
      </c>
      <c r="B105" s="22" t="s">
        <v>1060</v>
      </c>
      <c r="C105" s="3" t="n">
        <v>11</v>
      </c>
      <c r="D105" s="22" t="s">
        <v>1061</v>
      </c>
      <c r="E105" s="3" t="n">
        <v>3</v>
      </c>
      <c r="F105" s="22" t="s">
        <v>1062</v>
      </c>
      <c r="G105" s="3" t="n">
        <v>2</v>
      </c>
      <c r="H105" s="22" t="s">
        <v>1063</v>
      </c>
      <c r="I105" s="3" t="n">
        <v>5</v>
      </c>
    </row>
    <row r="106" customFormat="false" ht="15" hidden="false" customHeight="false" outlineLevel="0" collapsed="false">
      <c r="A106" s="3" t="s">
        <v>1064</v>
      </c>
      <c r="B106" s="22" t="s">
        <v>1065</v>
      </c>
      <c r="C106" s="3" t="n">
        <v>7</v>
      </c>
      <c r="D106" s="22" t="s">
        <v>1065</v>
      </c>
      <c r="E106" s="3" t="n">
        <v>0</v>
      </c>
      <c r="F106" s="22" t="s">
        <v>1066</v>
      </c>
      <c r="G106" s="3" t="n">
        <v>1</v>
      </c>
      <c r="H106" s="22" t="s">
        <v>1067</v>
      </c>
      <c r="I106" s="3" t="n">
        <v>2</v>
      </c>
    </row>
    <row r="107" customFormat="false" ht="15" hidden="false" customHeight="false" outlineLevel="0" collapsed="false">
      <c r="A107" s="3" t="s">
        <v>1068</v>
      </c>
      <c r="B107" s="22" t="s">
        <v>1069</v>
      </c>
      <c r="C107" s="3" t="n">
        <v>5</v>
      </c>
      <c r="D107" s="22" t="s">
        <v>1070</v>
      </c>
      <c r="E107" s="3" t="n">
        <v>1</v>
      </c>
      <c r="F107" s="22" t="s">
        <v>1071</v>
      </c>
      <c r="G107" s="3" t="n">
        <v>4</v>
      </c>
      <c r="H107" s="22" t="s">
        <v>1072</v>
      </c>
      <c r="I107" s="3" t="n">
        <v>3</v>
      </c>
    </row>
    <row r="108" customFormat="false" ht="15" hidden="false" customHeight="false" outlineLevel="0" collapsed="false">
      <c r="A108" s="3" t="s">
        <v>1073</v>
      </c>
      <c r="B108" s="22" t="s">
        <v>1074</v>
      </c>
      <c r="C108" s="3" t="n">
        <v>11</v>
      </c>
      <c r="D108" s="22" t="s">
        <v>1074</v>
      </c>
      <c r="E108" s="3" t="n">
        <v>0</v>
      </c>
      <c r="F108" s="22" t="s">
        <v>1075</v>
      </c>
      <c r="G108" s="3" t="n">
        <v>2</v>
      </c>
      <c r="H108" s="22" t="s">
        <v>1076</v>
      </c>
      <c r="I108" s="3" t="n">
        <v>0</v>
      </c>
    </row>
    <row r="109" customFormat="false" ht="15" hidden="false" customHeight="false" outlineLevel="0" collapsed="false">
      <c r="A109" s="3" t="s">
        <v>1077</v>
      </c>
      <c r="B109" s="22" t="s">
        <v>1078</v>
      </c>
      <c r="C109" s="3" t="n">
        <v>7</v>
      </c>
      <c r="D109" s="22" t="s">
        <v>1079</v>
      </c>
      <c r="E109" s="3" t="n">
        <v>3</v>
      </c>
      <c r="F109" s="22" t="s">
        <v>1080</v>
      </c>
      <c r="G109" s="3" t="n">
        <v>2</v>
      </c>
      <c r="H109" s="22" t="s">
        <v>1081</v>
      </c>
      <c r="I109" s="3" t="n">
        <v>3</v>
      </c>
    </row>
    <row r="110" customFormat="false" ht="15" hidden="false" customHeight="false" outlineLevel="0" collapsed="false">
      <c r="A110" s="3" t="s">
        <v>1082</v>
      </c>
      <c r="B110" s="22" t="s">
        <v>1083</v>
      </c>
      <c r="C110" s="3" t="n">
        <v>8</v>
      </c>
      <c r="D110" s="22" t="s">
        <v>1084</v>
      </c>
      <c r="E110" s="3" t="n">
        <v>1</v>
      </c>
      <c r="F110" s="22" t="s">
        <v>1085</v>
      </c>
      <c r="G110" s="3" t="n">
        <v>2</v>
      </c>
      <c r="H110" s="22" t="s">
        <v>1086</v>
      </c>
      <c r="I110" s="3" t="n">
        <v>2</v>
      </c>
    </row>
    <row r="111" customFormat="false" ht="15" hidden="false" customHeight="false" outlineLevel="0" collapsed="false">
      <c r="A111" s="3" t="s">
        <v>1087</v>
      </c>
      <c r="B111" s="22" t="s">
        <v>1088</v>
      </c>
      <c r="C111" s="3" t="n">
        <v>17</v>
      </c>
      <c r="D111" s="22" t="s">
        <v>1089</v>
      </c>
      <c r="E111" s="3" t="n">
        <v>1</v>
      </c>
      <c r="F111" s="22" t="s">
        <v>1090</v>
      </c>
      <c r="G111" s="3" t="n">
        <v>0</v>
      </c>
      <c r="H111" s="22" t="s">
        <v>1091</v>
      </c>
      <c r="I111" s="3" t="n">
        <v>8</v>
      </c>
    </row>
    <row r="112" customFormat="false" ht="15" hidden="false" customHeight="false" outlineLevel="0" collapsed="false">
      <c r="A112" s="3" t="s">
        <v>1092</v>
      </c>
      <c r="B112" s="22" t="s">
        <v>1093</v>
      </c>
      <c r="C112" s="3" t="n">
        <v>13</v>
      </c>
      <c r="D112" s="22" t="s">
        <v>1093</v>
      </c>
      <c r="E112" s="3" t="n">
        <v>0</v>
      </c>
      <c r="F112" s="22" t="s">
        <v>1094</v>
      </c>
      <c r="G112" s="3" t="n">
        <v>1</v>
      </c>
      <c r="H112" s="22" t="s">
        <v>1095</v>
      </c>
      <c r="I112" s="3" t="n">
        <v>4</v>
      </c>
    </row>
    <row r="113" customFormat="false" ht="15" hidden="false" customHeight="false" outlineLevel="0" collapsed="false">
      <c r="A113" s="3" t="s">
        <v>1096</v>
      </c>
      <c r="B113" s="22" t="s">
        <v>1097</v>
      </c>
      <c r="C113" s="3" t="n">
        <v>14</v>
      </c>
      <c r="D113" s="22" t="s">
        <v>1097</v>
      </c>
      <c r="E113" s="3" t="n">
        <v>0</v>
      </c>
      <c r="F113" s="22" t="s">
        <v>1098</v>
      </c>
      <c r="G113" s="3" t="n">
        <v>1</v>
      </c>
      <c r="H113" s="22" t="s">
        <v>1099</v>
      </c>
      <c r="I113" s="3" t="n">
        <v>2</v>
      </c>
    </row>
    <row r="114" customFormat="false" ht="15" hidden="false" customHeight="false" outlineLevel="0" collapsed="false">
      <c r="A114" s="3" t="s">
        <v>1100</v>
      </c>
      <c r="B114" s="22" t="s">
        <v>1101</v>
      </c>
      <c r="C114" s="3" t="n">
        <v>6</v>
      </c>
      <c r="D114" s="22" t="s">
        <v>1101</v>
      </c>
      <c r="E114" s="3" t="n">
        <v>0</v>
      </c>
      <c r="F114" s="22" t="s">
        <v>1102</v>
      </c>
      <c r="G114" s="3" t="n">
        <v>1</v>
      </c>
      <c r="H114" s="22" t="s">
        <v>1103</v>
      </c>
      <c r="I114" s="3" t="n">
        <v>1</v>
      </c>
    </row>
    <row r="115" customFormat="false" ht="15" hidden="false" customHeight="false" outlineLevel="0" collapsed="false">
      <c r="A115" s="3" t="s">
        <v>1104</v>
      </c>
      <c r="B115" s="22" t="s">
        <v>1105</v>
      </c>
      <c r="C115" s="3" t="n">
        <v>9</v>
      </c>
      <c r="D115" s="22" t="s">
        <v>1105</v>
      </c>
      <c r="E115" s="3" t="n">
        <v>0</v>
      </c>
      <c r="F115" s="22" t="s">
        <v>1106</v>
      </c>
      <c r="G115" s="3" t="n">
        <v>2</v>
      </c>
      <c r="H115" s="22" t="s">
        <v>1107</v>
      </c>
      <c r="I115" s="3" t="n">
        <v>0</v>
      </c>
    </row>
    <row r="116" customFormat="false" ht="15" hidden="false" customHeight="false" outlineLevel="0" collapsed="false">
      <c r="A116" s="3" t="s">
        <v>1108</v>
      </c>
      <c r="B116" s="22" t="s">
        <v>1109</v>
      </c>
      <c r="C116" s="3" t="n">
        <v>8</v>
      </c>
      <c r="D116" s="22" t="s">
        <v>1109</v>
      </c>
      <c r="E116" s="3" t="n">
        <v>0</v>
      </c>
      <c r="F116" s="22" t="s">
        <v>1109</v>
      </c>
      <c r="G116" s="3" t="n">
        <v>0</v>
      </c>
      <c r="H116" s="22" t="s">
        <v>1110</v>
      </c>
      <c r="I116" s="3" t="n">
        <v>2</v>
      </c>
    </row>
    <row r="117" customFormat="false" ht="15" hidden="false" customHeight="false" outlineLevel="0" collapsed="false">
      <c r="A117" s="3" t="s">
        <v>1111</v>
      </c>
      <c r="B117" s="22" t="s">
        <v>1112</v>
      </c>
      <c r="C117" s="3" t="n">
        <v>5</v>
      </c>
      <c r="D117" s="22" t="s">
        <v>1113</v>
      </c>
      <c r="E117" s="3" t="n">
        <v>0</v>
      </c>
      <c r="F117" s="22" t="s">
        <v>1112</v>
      </c>
      <c r="G117" s="3" t="n">
        <v>0</v>
      </c>
      <c r="H117" s="22" t="s">
        <v>1112</v>
      </c>
      <c r="I117" s="3" t="n">
        <v>0</v>
      </c>
    </row>
    <row r="118" customFormat="false" ht="15" hidden="false" customHeight="false" outlineLevel="0" collapsed="false">
      <c r="A118" s="3" t="s">
        <v>1114</v>
      </c>
      <c r="B118" s="22" t="s">
        <v>1115</v>
      </c>
      <c r="C118" s="3" t="n">
        <v>16</v>
      </c>
      <c r="D118" s="22" t="s">
        <v>1115</v>
      </c>
      <c r="E118" s="3" t="n">
        <v>0</v>
      </c>
      <c r="F118" s="22" t="s">
        <v>1116</v>
      </c>
      <c r="G118" s="3" t="n">
        <v>3</v>
      </c>
      <c r="H118" s="22" t="s">
        <v>1117</v>
      </c>
      <c r="I118" s="3" t="n">
        <v>4</v>
      </c>
    </row>
    <row r="119" customFormat="false" ht="15" hidden="false" customHeight="false" outlineLevel="0" collapsed="false">
      <c r="A119" s="3" t="s">
        <v>1118</v>
      </c>
      <c r="B119" s="22" t="s">
        <v>1119</v>
      </c>
      <c r="C119" s="3" t="n">
        <v>13</v>
      </c>
      <c r="D119" s="22" t="s">
        <v>1120</v>
      </c>
      <c r="E119" s="3" t="n">
        <v>2</v>
      </c>
      <c r="F119" s="22" t="s">
        <v>1121</v>
      </c>
      <c r="G119" s="3" t="n">
        <v>2</v>
      </c>
      <c r="H119" s="22" t="s">
        <v>1122</v>
      </c>
      <c r="I119" s="3" t="n">
        <v>7</v>
      </c>
    </row>
    <row r="120" customFormat="false" ht="15" hidden="false" customHeight="false" outlineLevel="0" collapsed="false">
      <c r="A120" s="3" t="s">
        <v>1123</v>
      </c>
      <c r="B120" s="22" t="s">
        <v>1124</v>
      </c>
      <c r="C120" s="3" t="n">
        <v>12</v>
      </c>
      <c r="D120" s="22" t="s">
        <v>1124</v>
      </c>
      <c r="E120" s="3" t="n">
        <v>0</v>
      </c>
      <c r="F120" s="22" t="s">
        <v>1124</v>
      </c>
      <c r="G120" s="3" t="n">
        <v>0</v>
      </c>
      <c r="H120" s="22" t="s">
        <v>1125</v>
      </c>
      <c r="I120" s="3" t="n">
        <v>1</v>
      </c>
    </row>
    <row r="121" customFormat="false" ht="15" hidden="false" customHeight="false" outlineLevel="0" collapsed="false">
      <c r="A121" s="3" t="s">
        <v>1126</v>
      </c>
      <c r="B121" s="22" t="s">
        <v>1127</v>
      </c>
      <c r="C121" s="3" t="n">
        <v>6</v>
      </c>
      <c r="D121" s="22" t="s">
        <v>1127</v>
      </c>
      <c r="E121" s="3" t="n">
        <v>0</v>
      </c>
      <c r="F121" s="22" t="s">
        <v>1127</v>
      </c>
      <c r="G121" s="3" t="n">
        <v>0</v>
      </c>
      <c r="H121" s="22" t="s">
        <v>1127</v>
      </c>
      <c r="I121" s="3" t="n">
        <v>0</v>
      </c>
    </row>
    <row r="122" customFormat="false" ht="15" hidden="false" customHeight="false" outlineLevel="0" collapsed="false">
      <c r="A122" s="3" t="s">
        <v>1128</v>
      </c>
      <c r="B122" s="22" t="s">
        <v>1129</v>
      </c>
      <c r="C122" s="3" t="n">
        <v>4</v>
      </c>
      <c r="D122" s="22" t="s">
        <v>1129</v>
      </c>
      <c r="E122" s="3" t="n">
        <v>0</v>
      </c>
      <c r="F122" s="22" t="s">
        <v>1130</v>
      </c>
      <c r="G122" s="3" t="n">
        <v>1</v>
      </c>
      <c r="H122" s="22" t="s">
        <v>1130</v>
      </c>
      <c r="I122" s="3" t="n">
        <v>1</v>
      </c>
    </row>
    <row r="123" customFormat="false" ht="15" hidden="false" customHeight="false" outlineLevel="0" collapsed="false">
      <c r="A123" s="3" t="s">
        <v>1131</v>
      </c>
      <c r="B123" s="22" t="s">
        <v>1132</v>
      </c>
      <c r="C123" s="3" t="n">
        <v>15</v>
      </c>
      <c r="D123" s="22" t="s">
        <v>1133</v>
      </c>
      <c r="E123" s="3" t="n">
        <v>0</v>
      </c>
      <c r="F123" s="22" t="s">
        <v>1134</v>
      </c>
      <c r="G123" s="3" t="n">
        <v>4</v>
      </c>
      <c r="H123" s="22" t="s">
        <v>1135</v>
      </c>
      <c r="I123" s="3" t="n">
        <v>4</v>
      </c>
    </row>
    <row r="124" customFormat="false" ht="15" hidden="false" customHeight="false" outlineLevel="0" collapsed="false">
      <c r="A124" s="3" t="s">
        <v>1136</v>
      </c>
      <c r="B124" s="22" t="s">
        <v>1137</v>
      </c>
      <c r="C124" s="3" t="n">
        <v>23</v>
      </c>
      <c r="D124" s="22" t="s">
        <v>1137</v>
      </c>
      <c r="E124" s="3" t="n">
        <v>0</v>
      </c>
      <c r="F124" s="22" t="s">
        <v>1138</v>
      </c>
      <c r="G124" s="3" t="n">
        <v>2</v>
      </c>
      <c r="H124" s="22" t="s">
        <v>1139</v>
      </c>
      <c r="I124" s="3" t="n">
        <v>5</v>
      </c>
    </row>
    <row r="125" customFormat="false" ht="15" hidden="false" customHeight="false" outlineLevel="0" collapsed="false">
      <c r="A125" s="3" t="s">
        <v>1140</v>
      </c>
      <c r="B125" s="22" t="s">
        <v>1141</v>
      </c>
      <c r="C125" s="3" t="n">
        <v>10</v>
      </c>
      <c r="D125" s="22" t="s">
        <v>1142</v>
      </c>
      <c r="E125" s="3" t="n">
        <v>6</v>
      </c>
      <c r="F125" s="22" t="s">
        <v>1143</v>
      </c>
      <c r="G125" s="3" t="n">
        <v>4</v>
      </c>
      <c r="H125" s="22" t="s">
        <v>1144</v>
      </c>
      <c r="I125" s="3" t="n">
        <v>7</v>
      </c>
    </row>
    <row r="126" customFormat="false" ht="15" hidden="false" customHeight="false" outlineLevel="0" collapsed="false">
      <c r="A126" s="3" t="s">
        <v>1145</v>
      </c>
      <c r="B126" s="22" t="s">
        <v>1146</v>
      </c>
      <c r="C126" s="3" t="n">
        <v>9</v>
      </c>
      <c r="D126" s="22" t="s">
        <v>1146</v>
      </c>
      <c r="E126" s="3" t="n">
        <v>0</v>
      </c>
      <c r="F126" s="22" t="s">
        <v>1147</v>
      </c>
      <c r="G126" s="3" t="n">
        <v>1</v>
      </c>
      <c r="H126" s="22" t="s">
        <v>1148</v>
      </c>
      <c r="I126" s="3" t="n">
        <v>4</v>
      </c>
    </row>
    <row r="127" customFormat="false" ht="15" hidden="false" customHeight="false" outlineLevel="0" collapsed="false">
      <c r="A127" s="3" t="s">
        <v>1149</v>
      </c>
      <c r="B127" s="22" t="s">
        <v>1150</v>
      </c>
      <c r="C127" s="3" t="n">
        <v>10</v>
      </c>
      <c r="D127" s="22" t="s">
        <v>1150</v>
      </c>
      <c r="E127" s="3" t="n">
        <v>0</v>
      </c>
      <c r="F127" s="22" t="s">
        <v>1151</v>
      </c>
      <c r="G127" s="3" t="n">
        <v>1</v>
      </c>
      <c r="H127" s="22" t="s">
        <v>1152</v>
      </c>
      <c r="I127" s="3" t="n">
        <v>3</v>
      </c>
    </row>
    <row r="128" customFormat="false" ht="15" hidden="false" customHeight="false" outlineLevel="0" collapsed="false">
      <c r="A128" s="3" t="s">
        <v>1153</v>
      </c>
      <c r="B128" s="22" t="s">
        <v>1154</v>
      </c>
      <c r="C128" s="3" t="n">
        <v>10</v>
      </c>
      <c r="D128" s="22" t="s">
        <v>1155</v>
      </c>
      <c r="E128" s="3" t="n">
        <v>2</v>
      </c>
      <c r="F128" s="22" t="s">
        <v>1156</v>
      </c>
      <c r="G128" s="3" t="n">
        <v>3</v>
      </c>
      <c r="H128" s="22" t="s">
        <v>1157</v>
      </c>
      <c r="I128" s="3" t="n">
        <v>3</v>
      </c>
    </row>
    <row r="129" customFormat="false" ht="17.15" hidden="false" customHeight="false" outlineLevel="0" collapsed="false">
      <c r="A129" s="3" t="s">
        <v>1158</v>
      </c>
      <c r="B129" s="22" t="s">
        <v>1159</v>
      </c>
      <c r="C129" s="3" t="n">
        <v>10</v>
      </c>
      <c r="D129" s="22" t="s">
        <v>1160</v>
      </c>
      <c r="E129" s="3" t="n">
        <v>1</v>
      </c>
      <c r="F129" s="22" t="s">
        <v>1161</v>
      </c>
      <c r="G129" s="3" t="n">
        <v>1</v>
      </c>
      <c r="H129" s="22" t="s">
        <v>1162</v>
      </c>
      <c r="I129" s="3" t="n">
        <v>4</v>
      </c>
    </row>
    <row r="130" customFormat="false" ht="15" hidden="false" customHeight="false" outlineLevel="0" collapsed="false">
      <c r="A130" s="3" t="s">
        <v>1163</v>
      </c>
      <c r="B130" s="22" t="s">
        <v>1164</v>
      </c>
      <c r="C130" s="3" t="n">
        <v>5</v>
      </c>
      <c r="D130" s="22" t="s">
        <v>1165</v>
      </c>
      <c r="E130" s="3" t="n">
        <v>1</v>
      </c>
      <c r="F130" s="22" t="s">
        <v>1166</v>
      </c>
      <c r="G130" s="3" t="n">
        <v>2</v>
      </c>
      <c r="H130" s="22" t="s">
        <v>1167</v>
      </c>
      <c r="I130" s="3" t="n">
        <v>2</v>
      </c>
    </row>
    <row r="131" customFormat="false" ht="15" hidden="false" customHeight="false" outlineLevel="0" collapsed="false">
      <c r="A131" s="3" t="s">
        <v>1168</v>
      </c>
      <c r="B131" s="22" t="s">
        <v>1169</v>
      </c>
      <c r="C131" s="3" t="n">
        <v>8</v>
      </c>
      <c r="D131" s="22" t="s">
        <v>1169</v>
      </c>
      <c r="E131" s="3" t="n">
        <v>0</v>
      </c>
      <c r="F131" s="22" t="s">
        <v>1169</v>
      </c>
      <c r="G131" s="3" t="n">
        <v>0</v>
      </c>
      <c r="H131" s="22" t="s">
        <v>1170</v>
      </c>
      <c r="I131" s="3" t="n">
        <v>1</v>
      </c>
    </row>
    <row r="132" customFormat="false" ht="15" hidden="false" customHeight="false" outlineLevel="0" collapsed="false">
      <c r="A132" s="3" t="s">
        <v>1171</v>
      </c>
      <c r="B132" s="22" t="s">
        <v>1172</v>
      </c>
      <c r="C132" s="3" t="n">
        <v>8</v>
      </c>
      <c r="D132" s="22" t="s">
        <v>1172</v>
      </c>
      <c r="E132" s="3" t="n">
        <v>0</v>
      </c>
      <c r="F132" s="22" t="s">
        <v>1173</v>
      </c>
      <c r="G132" s="3" t="n">
        <v>0</v>
      </c>
      <c r="H132" s="22" t="s">
        <v>1174</v>
      </c>
      <c r="I132" s="3" t="n">
        <v>2</v>
      </c>
    </row>
    <row r="133" customFormat="false" ht="15" hidden="false" customHeight="false" outlineLevel="0" collapsed="false">
      <c r="A133" s="3" t="s">
        <v>1175</v>
      </c>
      <c r="B133" s="22" t="s">
        <v>1176</v>
      </c>
      <c r="C133" s="3" t="n">
        <v>5</v>
      </c>
      <c r="D133" s="22" t="s">
        <v>1176</v>
      </c>
      <c r="E133" s="3" t="n">
        <v>0</v>
      </c>
      <c r="F133" s="22" t="s">
        <v>1176</v>
      </c>
      <c r="G133" s="3" t="n">
        <v>0</v>
      </c>
      <c r="H133" s="22" t="s">
        <v>1176</v>
      </c>
      <c r="I133" s="3" t="n">
        <v>0</v>
      </c>
    </row>
    <row r="134" customFormat="false" ht="15" hidden="false" customHeight="false" outlineLevel="0" collapsed="false">
      <c r="A134" s="3" t="s">
        <v>1177</v>
      </c>
      <c r="B134" s="22" t="s">
        <v>1178</v>
      </c>
      <c r="C134" s="3" t="n">
        <v>9</v>
      </c>
      <c r="D134" s="22" t="s">
        <v>1179</v>
      </c>
      <c r="E134" s="3" t="n">
        <v>2</v>
      </c>
      <c r="F134" s="22" t="s">
        <v>1180</v>
      </c>
      <c r="G134" s="3" t="n">
        <v>2</v>
      </c>
      <c r="H134" s="22" t="s">
        <v>1181</v>
      </c>
      <c r="I134" s="3" t="n">
        <v>4</v>
      </c>
    </row>
    <row r="135" customFormat="false" ht="15" hidden="false" customHeight="false" outlineLevel="0" collapsed="false">
      <c r="A135" s="3" t="s">
        <v>1182</v>
      </c>
      <c r="B135" s="22" t="s">
        <v>1183</v>
      </c>
      <c r="C135" s="3" t="n">
        <v>13</v>
      </c>
      <c r="D135" s="22" t="s">
        <v>1183</v>
      </c>
      <c r="E135" s="3" t="n">
        <v>0</v>
      </c>
      <c r="F135" s="22" t="s">
        <v>1183</v>
      </c>
      <c r="G135" s="3" t="n">
        <v>0</v>
      </c>
      <c r="H135" s="22" t="s">
        <v>1184</v>
      </c>
      <c r="I135" s="3" t="n">
        <v>1</v>
      </c>
    </row>
    <row r="136" customFormat="false" ht="15" hidden="false" customHeight="false" outlineLevel="0" collapsed="false">
      <c r="A136" s="3" t="s">
        <v>1185</v>
      </c>
      <c r="B136" s="22" t="s">
        <v>1186</v>
      </c>
      <c r="C136" s="3" t="n">
        <v>13</v>
      </c>
      <c r="D136" s="22" t="s">
        <v>1186</v>
      </c>
      <c r="E136" s="3" t="n">
        <v>0</v>
      </c>
      <c r="F136" s="22" t="s">
        <v>1186</v>
      </c>
      <c r="G136" s="3" t="n">
        <v>0</v>
      </c>
      <c r="H136" s="22" t="s">
        <v>1187</v>
      </c>
      <c r="I136" s="3" t="n">
        <v>3</v>
      </c>
    </row>
    <row r="137" customFormat="false" ht="15" hidden="false" customHeight="false" outlineLevel="0" collapsed="false">
      <c r="A137" s="3" t="s">
        <v>1188</v>
      </c>
      <c r="B137" s="22" t="s">
        <v>1189</v>
      </c>
      <c r="C137" s="3" t="n">
        <v>5</v>
      </c>
      <c r="D137" s="22" t="s">
        <v>1189</v>
      </c>
      <c r="E137" s="3" t="n">
        <v>0</v>
      </c>
      <c r="F137" s="22" t="s">
        <v>1190</v>
      </c>
      <c r="G137" s="3" t="n">
        <v>1</v>
      </c>
      <c r="H137" s="22" t="s">
        <v>1191</v>
      </c>
      <c r="I137" s="3" t="n">
        <v>2</v>
      </c>
    </row>
    <row r="138" customFormat="false" ht="15" hidden="false" customHeight="false" outlineLevel="0" collapsed="false">
      <c r="A138" s="3" t="s">
        <v>1192</v>
      </c>
      <c r="B138" s="22" t="s">
        <v>1193</v>
      </c>
      <c r="C138" s="3" t="n">
        <v>12</v>
      </c>
      <c r="D138" s="22" t="s">
        <v>1193</v>
      </c>
      <c r="E138" s="3" t="n">
        <v>0</v>
      </c>
      <c r="F138" s="22" t="s">
        <v>1194</v>
      </c>
      <c r="G138" s="3" t="n">
        <v>3</v>
      </c>
      <c r="H138" s="22" t="s">
        <v>1195</v>
      </c>
      <c r="I138" s="3" t="n">
        <v>1</v>
      </c>
    </row>
    <row r="139" customFormat="false" ht="15" hidden="false" customHeight="false" outlineLevel="0" collapsed="false">
      <c r="A139" s="3" t="s">
        <v>1196</v>
      </c>
      <c r="B139" s="22" t="s">
        <v>1197</v>
      </c>
      <c r="C139" s="3" t="n">
        <v>4</v>
      </c>
      <c r="D139" s="22" t="s">
        <v>1198</v>
      </c>
      <c r="E139" s="3" t="n">
        <v>0</v>
      </c>
      <c r="F139" s="22" t="s">
        <v>1199</v>
      </c>
      <c r="G139" s="3" t="n">
        <v>1</v>
      </c>
      <c r="H139" s="22" t="s">
        <v>1200</v>
      </c>
      <c r="I139" s="3" t="n">
        <v>2</v>
      </c>
    </row>
    <row r="140" customFormat="false" ht="15" hidden="false" customHeight="false" outlineLevel="0" collapsed="false">
      <c r="A140" s="3" t="s">
        <v>1201</v>
      </c>
      <c r="B140" s="22" t="s">
        <v>1202</v>
      </c>
      <c r="C140" s="3" t="n">
        <v>5</v>
      </c>
      <c r="D140" s="22" t="s">
        <v>1202</v>
      </c>
      <c r="E140" s="3" t="n">
        <v>0</v>
      </c>
      <c r="F140" s="22" t="s">
        <v>1202</v>
      </c>
      <c r="G140" s="3" t="n">
        <v>0</v>
      </c>
      <c r="H140" s="22" t="s">
        <v>1203</v>
      </c>
      <c r="I140" s="3" t="n">
        <v>2</v>
      </c>
    </row>
    <row r="141" customFormat="false" ht="15" hidden="false" customHeight="false" outlineLevel="0" collapsed="false">
      <c r="A141" s="3" t="s">
        <v>1204</v>
      </c>
      <c r="B141" s="22" t="s">
        <v>1205</v>
      </c>
      <c r="C141" s="3" t="n">
        <v>11</v>
      </c>
      <c r="D141" s="22" t="s">
        <v>1205</v>
      </c>
      <c r="E141" s="3" t="n">
        <v>0</v>
      </c>
      <c r="F141" s="22" t="s">
        <v>1206</v>
      </c>
      <c r="G141" s="3" t="n">
        <v>3</v>
      </c>
      <c r="H141" s="22" t="s">
        <v>1207</v>
      </c>
      <c r="I141" s="3" t="n">
        <v>5</v>
      </c>
    </row>
    <row r="142" customFormat="false" ht="15" hidden="false" customHeight="false" outlineLevel="0" collapsed="false">
      <c r="A142" s="3" t="s">
        <v>1208</v>
      </c>
      <c r="B142" s="22" t="s">
        <v>1209</v>
      </c>
      <c r="C142" s="3" t="n">
        <v>12</v>
      </c>
      <c r="D142" s="22" t="s">
        <v>1209</v>
      </c>
      <c r="E142" s="3" t="n">
        <v>0</v>
      </c>
      <c r="F142" s="22" t="s">
        <v>1209</v>
      </c>
      <c r="G142" s="3" t="n">
        <v>0</v>
      </c>
      <c r="H142" s="22" t="s">
        <v>1210</v>
      </c>
      <c r="I142" s="3" t="n">
        <v>2</v>
      </c>
    </row>
    <row r="143" customFormat="false" ht="15" hidden="false" customHeight="false" outlineLevel="0" collapsed="false">
      <c r="A143" s="3" t="s">
        <v>1211</v>
      </c>
      <c r="B143" s="22" t="s">
        <v>1212</v>
      </c>
      <c r="C143" s="3" t="n">
        <v>10</v>
      </c>
      <c r="D143" s="22" t="s">
        <v>1213</v>
      </c>
      <c r="E143" s="3" t="n">
        <v>3</v>
      </c>
      <c r="F143" s="22" t="s">
        <v>1214</v>
      </c>
      <c r="G143" s="3" t="n">
        <v>1</v>
      </c>
      <c r="H143" s="22" t="s">
        <v>1215</v>
      </c>
      <c r="I143" s="3" t="n">
        <v>2</v>
      </c>
    </row>
    <row r="144" customFormat="false" ht="15" hidden="false" customHeight="false" outlineLevel="0" collapsed="false">
      <c r="A144" s="3" t="s">
        <v>1216</v>
      </c>
      <c r="B144" s="22" t="s">
        <v>1217</v>
      </c>
      <c r="C144" s="3" t="n">
        <v>6</v>
      </c>
      <c r="D144" s="22" t="s">
        <v>1217</v>
      </c>
      <c r="E144" s="3" t="n">
        <v>0</v>
      </c>
      <c r="F144" s="22" t="s">
        <v>1217</v>
      </c>
      <c r="G144" s="3" t="n">
        <v>0</v>
      </c>
      <c r="H144" s="22" t="s">
        <v>1218</v>
      </c>
      <c r="I144" s="3" t="n">
        <v>1</v>
      </c>
    </row>
    <row r="145" customFormat="false" ht="15" hidden="false" customHeight="false" outlineLevel="0" collapsed="false">
      <c r="A145" s="3" t="s">
        <v>1219</v>
      </c>
      <c r="B145" s="22" t="s">
        <v>1220</v>
      </c>
      <c r="C145" s="3" t="n">
        <v>8</v>
      </c>
      <c r="D145" s="22" t="s">
        <v>1221</v>
      </c>
      <c r="E145" s="3" t="n">
        <v>0</v>
      </c>
      <c r="F145" s="22" t="s">
        <v>1222</v>
      </c>
      <c r="G145" s="3" t="n">
        <v>0</v>
      </c>
      <c r="H145" s="22" t="s">
        <v>1223</v>
      </c>
      <c r="I145" s="3" t="n">
        <v>3</v>
      </c>
    </row>
    <row r="146" customFormat="false" ht="15" hidden="false" customHeight="false" outlineLevel="0" collapsed="false">
      <c r="A146" s="3" t="s">
        <v>1224</v>
      </c>
      <c r="B146" s="22" t="s">
        <v>1225</v>
      </c>
      <c r="C146" s="3" t="n">
        <v>10</v>
      </c>
      <c r="D146" s="22" t="s">
        <v>1225</v>
      </c>
      <c r="E146" s="3" t="n">
        <v>0</v>
      </c>
      <c r="F146" s="22" t="s">
        <v>1225</v>
      </c>
      <c r="G146" s="3" t="n">
        <v>0</v>
      </c>
      <c r="H146" s="22" t="s">
        <v>1226</v>
      </c>
      <c r="I146" s="3" t="n">
        <v>2</v>
      </c>
    </row>
    <row r="147" customFormat="false" ht="15" hidden="false" customHeight="false" outlineLevel="0" collapsed="false">
      <c r="A147" s="3" t="s">
        <v>1227</v>
      </c>
      <c r="B147" s="22" t="s">
        <v>1228</v>
      </c>
      <c r="C147" s="3" t="n">
        <v>6</v>
      </c>
      <c r="D147" s="22" t="s">
        <v>1228</v>
      </c>
      <c r="E147" s="3" t="n">
        <v>0</v>
      </c>
      <c r="F147" s="22" t="s">
        <v>1228</v>
      </c>
      <c r="G147" s="3" t="n">
        <v>0</v>
      </c>
      <c r="H147" s="22" t="s">
        <v>1228</v>
      </c>
      <c r="I147" s="3" t="n">
        <v>0</v>
      </c>
    </row>
    <row r="148" customFormat="false" ht="15" hidden="false" customHeight="false" outlineLevel="0" collapsed="false">
      <c r="A148" s="3" t="s">
        <v>1229</v>
      </c>
      <c r="B148" s="22" t="s">
        <v>1230</v>
      </c>
      <c r="C148" s="3" t="n">
        <v>12</v>
      </c>
      <c r="D148" s="22" t="s">
        <v>1231</v>
      </c>
      <c r="E148" s="3" t="n">
        <v>2</v>
      </c>
      <c r="F148" s="22" t="s">
        <v>1232</v>
      </c>
      <c r="G148" s="3" t="n">
        <v>3</v>
      </c>
      <c r="H148" s="22" t="s">
        <v>1233</v>
      </c>
      <c r="I148" s="3" t="n">
        <v>4</v>
      </c>
    </row>
    <row r="149" customFormat="false" ht="15" hidden="false" customHeight="false" outlineLevel="0" collapsed="false">
      <c r="A149" s="3" t="s">
        <v>1234</v>
      </c>
      <c r="B149" s="22" t="s">
        <v>1235</v>
      </c>
      <c r="C149" s="3" t="n">
        <v>9</v>
      </c>
      <c r="D149" s="22" t="s">
        <v>1235</v>
      </c>
      <c r="E149" s="3" t="n">
        <v>0</v>
      </c>
      <c r="F149" s="22" t="s">
        <v>1235</v>
      </c>
      <c r="G149" s="3" t="n">
        <v>0</v>
      </c>
      <c r="H149" s="22" t="s">
        <v>1235</v>
      </c>
      <c r="I149" s="3" t="n">
        <v>0</v>
      </c>
    </row>
    <row r="150" customFormat="false" ht="15" hidden="false" customHeight="false" outlineLevel="0" collapsed="false">
      <c r="A150" s="3" t="s">
        <v>1236</v>
      </c>
      <c r="B150" s="22" t="s">
        <v>1237</v>
      </c>
      <c r="C150" s="3" t="n">
        <v>8</v>
      </c>
      <c r="D150" s="22" t="s">
        <v>1238</v>
      </c>
      <c r="E150" s="3" t="n">
        <v>2</v>
      </c>
      <c r="F150" s="22" t="s">
        <v>1239</v>
      </c>
      <c r="G150" s="3" t="n">
        <v>1</v>
      </c>
      <c r="H150" s="22" t="s">
        <v>1240</v>
      </c>
      <c r="I150" s="3" t="n">
        <v>1</v>
      </c>
    </row>
    <row r="151" customFormat="false" ht="15" hidden="false" customHeight="false" outlineLevel="0" collapsed="false">
      <c r="A151" s="3" t="s">
        <v>1241</v>
      </c>
      <c r="B151" s="22" t="s">
        <v>1242</v>
      </c>
      <c r="C151" s="3" t="n">
        <v>8</v>
      </c>
      <c r="D151" s="22" t="s">
        <v>1243</v>
      </c>
      <c r="E151" s="3" t="n">
        <v>1</v>
      </c>
      <c r="F151" s="22" t="s">
        <v>1244</v>
      </c>
      <c r="G151" s="3" t="n">
        <v>3</v>
      </c>
      <c r="H151" s="22" t="s">
        <v>1245</v>
      </c>
      <c r="I151" s="3" t="n">
        <v>3</v>
      </c>
    </row>
    <row r="152" customFormat="false" ht="15" hidden="false" customHeight="false" outlineLevel="0" collapsed="false">
      <c r="A152" s="3" t="s">
        <v>1246</v>
      </c>
      <c r="B152" s="22" t="s">
        <v>1247</v>
      </c>
      <c r="C152" s="3" t="n">
        <v>8</v>
      </c>
      <c r="D152" s="22" t="s">
        <v>1247</v>
      </c>
      <c r="E152" s="3" t="n">
        <v>0</v>
      </c>
      <c r="F152" s="22" t="s">
        <v>1248</v>
      </c>
      <c r="G152" s="3" t="n">
        <v>4</v>
      </c>
      <c r="H152" s="22" t="s">
        <v>1249</v>
      </c>
      <c r="I152" s="3" t="n">
        <v>3</v>
      </c>
    </row>
    <row r="153" customFormat="false" ht="15" hidden="false" customHeight="false" outlineLevel="0" collapsed="false">
      <c r="A153" s="3" t="s">
        <v>1250</v>
      </c>
      <c r="B153" s="22" t="s">
        <v>1251</v>
      </c>
      <c r="C153" s="3" t="n">
        <v>6</v>
      </c>
      <c r="D153" s="22" t="s">
        <v>1251</v>
      </c>
      <c r="E153" s="3" t="n">
        <v>0</v>
      </c>
      <c r="F153" s="22" t="s">
        <v>1251</v>
      </c>
      <c r="G153" s="3" t="n">
        <v>0</v>
      </c>
      <c r="H153" s="22" t="s">
        <v>1252</v>
      </c>
      <c r="I153" s="3" t="n">
        <v>1</v>
      </c>
    </row>
    <row r="154" customFormat="false" ht="15" hidden="false" customHeight="false" outlineLevel="0" collapsed="false">
      <c r="A154" s="3" t="s">
        <v>1253</v>
      </c>
      <c r="B154" s="22" t="s">
        <v>1254</v>
      </c>
      <c r="C154" s="3" t="n">
        <v>10</v>
      </c>
      <c r="D154" s="22" t="s">
        <v>1255</v>
      </c>
      <c r="E154" s="3" t="n">
        <v>1</v>
      </c>
      <c r="F154" s="22" t="s">
        <v>1256</v>
      </c>
      <c r="G154" s="3" t="n">
        <v>1</v>
      </c>
      <c r="H154" s="22" t="s">
        <v>1257</v>
      </c>
      <c r="I154" s="3" t="n">
        <v>2</v>
      </c>
    </row>
    <row r="155" customFormat="false" ht="15" hidden="false" customHeight="false" outlineLevel="0" collapsed="false">
      <c r="A155" s="3" t="s">
        <v>1258</v>
      </c>
      <c r="B155" s="22" t="s">
        <v>1259</v>
      </c>
      <c r="C155" s="3" t="n">
        <v>20</v>
      </c>
      <c r="D155" s="22" t="s">
        <v>1260</v>
      </c>
      <c r="E155" s="3" t="n">
        <v>2</v>
      </c>
      <c r="F155" s="22" t="s">
        <v>1261</v>
      </c>
      <c r="G155" s="3" t="n">
        <v>0</v>
      </c>
      <c r="H155" s="22" t="s">
        <v>1262</v>
      </c>
      <c r="I155" s="3" t="n">
        <v>4</v>
      </c>
    </row>
    <row r="156" customFormat="false" ht="15" hidden="false" customHeight="false" outlineLevel="0" collapsed="false">
      <c r="A156" s="3" t="s">
        <v>1263</v>
      </c>
      <c r="B156" s="22" t="s">
        <v>1264</v>
      </c>
      <c r="C156" s="3" t="n">
        <v>17</v>
      </c>
      <c r="D156" s="22" t="s">
        <v>1265</v>
      </c>
      <c r="E156" s="3" t="n">
        <v>2</v>
      </c>
      <c r="F156" s="22" t="s">
        <v>1266</v>
      </c>
      <c r="G156" s="3" t="n">
        <v>1</v>
      </c>
      <c r="H156" s="22" t="s">
        <v>1267</v>
      </c>
      <c r="I156" s="3" t="n">
        <v>7</v>
      </c>
    </row>
    <row r="157" customFormat="false" ht="15" hidden="false" customHeight="false" outlineLevel="0" collapsed="false">
      <c r="A157" s="3" t="s">
        <v>1268</v>
      </c>
      <c r="B157" s="22" t="s">
        <v>1269</v>
      </c>
      <c r="C157" s="3" t="n">
        <v>17</v>
      </c>
      <c r="D157" s="22" t="s">
        <v>1270</v>
      </c>
      <c r="E157" s="3" t="n">
        <v>1</v>
      </c>
      <c r="F157" s="22" t="s">
        <v>1271</v>
      </c>
      <c r="G157" s="3" t="n">
        <v>3</v>
      </c>
      <c r="H157" s="22" t="s">
        <v>1272</v>
      </c>
      <c r="I157" s="3" t="n">
        <v>3</v>
      </c>
    </row>
    <row r="158" customFormat="false" ht="15" hidden="false" customHeight="false" outlineLevel="0" collapsed="false">
      <c r="A158" s="3" t="s">
        <v>1273</v>
      </c>
      <c r="B158" s="22" t="s">
        <v>1274</v>
      </c>
      <c r="C158" s="3" t="n">
        <v>11</v>
      </c>
      <c r="D158" s="22" t="s">
        <v>1275</v>
      </c>
      <c r="E158" s="3" t="n">
        <v>4</v>
      </c>
      <c r="F158" s="22" t="s">
        <v>1276</v>
      </c>
      <c r="G158" s="3" t="n">
        <v>5</v>
      </c>
      <c r="H158" s="22" t="s">
        <v>1277</v>
      </c>
      <c r="I158" s="3" t="n">
        <v>3</v>
      </c>
    </row>
    <row r="159" customFormat="false" ht="15" hidden="false" customHeight="false" outlineLevel="0" collapsed="false">
      <c r="A159" s="3" t="s">
        <v>1278</v>
      </c>
      <c r="B159" s="22" t="s">
        <v>1279</v>
      </c>
      <c r="C159" s="3" t="n">
        <v>5</v>
      </c>
      <c r="D159" s="22" t="s">
        <v>1279</v>
      </c>
      <c r="E159" s="3" t="n">
        <v>0</v>
      </c>
      <c r="F159" s="22" t="s">
        <v>1279</v>
      </c>
      <c r="G159" s="3" t="n">
        <v>0</v>
      </c>
      <c r="H159" s="22" t="s">
        <v>1279</v>
      </c>
      <c r="I159" s="3" t="n">
        <v>0</v>
      </c>
    </row>
    <row r="160" customFormat="false" ht="15" hidden="false" customHeight="false" outlineLevel="0" collapsed="false">
      <c r="A160" s="3" t="s">
        <v>1280</v>
      </c>
      <c r="B160" s="22" t="s">
        <v>1281</v>
      </c>
      <c r="C160" s="3" t="n">
        <v>8</v>
      </c>
      <c r="D160" s="22" t="s">
        <v>1281</v>
      </c>
      <c r="E160" s="3" t="n">
        <v>0</v>
      </c>
      <c r="F160" s="22" t="s">
        <v>1282</v>
      </c>
      <c r="G160" s="3" t="n">
        <v>2</v>
      </c>
      <c r="H160" s="22" t="s">
        <v>1283</v>
      </c>
      <c r="I160" s="3" t="n">
        <v>2</v>
      </c>
    </row>
    <row r="161" customFormat="false" ht="15" hidden="false" customHeight="false" outlineLevel="0" collapsed="false">
      <c r="A161" s="3" t="s">
        <v>1284</v>
      </c>
      <c r="B161" s="22" t="s">
        <v>1285</v>
      </c>
      <c r="C161" s="3" t="n">
        <v>11</v>
      </c>
      <c r="D161" s="22" t="s">
        <v>1286</v>
      </c>
      <c r="E161" s="3" t="n">
        <v>1</v>
      </c>
      <c r="F161" s="22" t="s">
        <v>1286</v>
      </c>
      <c r="G161" s="3" t="n">
        <v>1</v>
      </c>
      <c r="H161" s="22" t="s">
        <v>1287</v>
      </c>
      <c r="I161" s="3" t="n">
        <v>3</v>
      </c>
    </row>
    <row r="162" customFormat="false" ht="15" hidden="false" customHeight="false" outlineLevel="0" collapsed="false">
      <c r="A162" s="3" t="s">
        <v>1288</v>
      </c>
      <c r="B162" s="22" t="s">
        <v>1289</v>
      </c>
      <c r="C162" s="3" t="n">
        <v>8</v>
      </c>
      <c r="D162" s="22" t="s">
        <v>1290</v>
      </c>
      <c r="E162" s="3" t="n">
        <v>2</v>
      </c>
      <c r="F162" s="22" t="s">
        <v>1291</v>
      </c>
      <c r="G162" s="3" t="n">
        <v>3</v>
      </c>
      <c r="H162" s="22" t="s">
        <v>1292</v>
      </c>
      <c r="I162" s="3" t="n">
        <v>2</v>
      </c>
    </row>
    <row r="163" customFormat="false" ht="15" hidden="false" customHeight="false" outlineLevel="0" collapsed="false">
      <c r="A163" s="3" t="s">
        <v>1293</v>
      </c>
      <c r="B163" s="22" t="s">
        <v>1294</v>
      </c>
      <c r="C163" s="3" t="n">
        <v>4</v>
      </c>
      <c r="D163" s="22" t="s">
        <v>1295</v>
      </c>
      <c r="E163" s="3" t="n">
        <v>0</v>
      </c>
      <c r="F163" s="22" t="s">
        <v>1295</v>
      </c>
      <c r="G163" s="3" t="n">
        <v>0</v>
      </c>
      <c r="H163" s="22" t="s">
        <v>1296</v>
      </c>
      <c r="I163" s="3" t="n">
        <v>1</v>
      </c>
    </row>
    <row r="164" customFormat="false" ht="15" hidden="false" customHeight="false" outlineLevel="0" collapsed="false">
      <c r="A164" s="3" t="s">
        <v>1297</v>
      </c>
      <c r="B164" s="22" t="s">
        <v>1298</v>
      </c>
      <c r="C164" s="3" t="n">
        <v>9</v>
      </c>
      <c r="D164" s="22" t="s">
        <v>1298</v>
      </c>
      <c r="E164" s="3" t="n">
        <v>0</v>
      </c>
      <c r="F164" s="22" t="s">
        <v>1299</v>
      </c>
      <c r="G164" s="3" t="n">
        <v>2</v>
      </c>
      <c r="H164" s="22" t="s">
        <v>1300</v>
      </c>
      <c r="I164" s="3" t="n">
        <v>3</v>
      </c>
    </row>
    <row r="165" customFormat="false" ht="15" hidden="false" customHeight="false" outlineLevel="0" collapsed="false">
      <c r="A165" s="3" t="s">
        <v>1301</v>
      </c>
      <c r="B165" s="22" t="s">
        <v>1302</v>
      </c>
      <c r="C165" s="3" t="n">
        <v>15</v>
      </c>
      <c r="D165" s="22" t="s">
        <v>1302</v>
      </c>
      <c r="E165" s="3" t="n">
        <v>0</v>
      </c>
      <c r="F165" s="22" t="s">
        <v>1303</v>
      </c>
      <c r="G165" s="3" t="n">
        <v>2</v>
      </c>
      <c r="H165" s="22" t="s">
        <v>1304</v>
      </c>
      <c r="I165" s="3" t="n">
        <v>3</v>
      </c>
    </row>
    <row r="166" customFormat="false" ht="15" hidden="false" customHeight="false" outlineLevel="0" collapsed="false">
      <c r="A166" s="3" t="s">
        <v>1305</v>
      </c>
      <c r="B166" s="22" t="s">
        <v>1306</v>
      </c>
      <c r="C166" s="3" t="n">
        <v>8</v>
      </c>
      <c r="D166" s="22" t="s">
        <v>1307</v>
      </c>
      <c r="E166" s="3" t="n">
        <v>0</v>
      </c>
      <c r="F166" s="22" t="s">
        <v>1307</v>
      </c>
      <c r="G166" s="3" t="n">
        <v>0</v>
      </c>
      <c r="H166" s="22" t="s">
        <v>1307</v>
      </c>
      <c r="I166" s="3" t="n">
        <v>0</v>
      </c>
    </row>
    <row r="167" customFormat="false" ht="15" hidden="false" customHeight="false" outlineLevel="0" collapsed="false">
      <c r="A167" s="3" t="s">
        <v>1308</v>
      </c>
      <c r="B167" s="22" t="s">
        <v>1309</v>
      </c>
      <c r="C167" s="3" t="n">
        <v>6</v>
      </c>
      <c r="D167" s="22" t="s">
        <v>1310</v>
      </c>
      <c r="E167" s="3" t="n">
        <v>1</v>
      </c>
      <c r="F167" s="22" t="s">
        <v>1311</v>
      </c>
      <c r="G167" s="3" t="n">
        <v>1</v>
      </c>
      <c r="H167" s="22" t="s">
        <v>1312</v>
      </c>
      <c r="I167" s="3" t="n">
        <v>3</v>
      </c>
    </row>
    <row r="168" customFormat="false" ht="15" hidden="false" customHeight="false" outlineLevel="0" collapsed="false">
      <c r="A168" s="3" t="s">
        <v>1313</v>
      </c>
      <c r="B168" s="22" t="s">
        <v>1314</v>
      </c>
      <c r="C168" s="3" t="n">
        <v>10</v>
      </c>
      <c r="D168" s="22" t="s">
        <v>1315</v>
      </c>
      <c r="E168" s="3" t="n">
        <v>0</v>
      </c>
      <c r="F168" s="22" t="s">
        <v>1316</v>
      </c>
      <c r="G168" s="3" t="n">
        <v>2</v>
      </c>
      <c r="H168" s="22" t="s">
        <v>1317</v>
      </c>
      <c r="I168" s="3" t="n">
        <v>1</v>
      </c>
    </row>
    <row r="169" customFormat="false" ht="15" hidden="false" customHeight="false" outlineLevel="0" collapsed="false">
      <c r="A169" s="3" t="s">
        <v>1318</v>
      </c>
      <c r="B169" s="22" t="s">
        <v>1319</v>
      </c>
      <c r="C169" s="3" t="n">
        <v>10</v>
      </c>
      <c r="D169" s="22" t="s">
        <v>1319</v>
      </c>
      <c r="E169" s="3" t="n">
        <v>0</v>
      </c>
      <c r="F169" s="22" t="s">
        <v>1319</v>
      </c>
      <c r="G169" s="3" t="n">
        <v>0</v>
      </c>
      <c r="H169" s="22" t="s">
        <v>1320</v>
      </c>
      <c r="I169" s="3" t="n">
        <v>1</v>
      </c>
    </row>
    <row r="170" customFormat="false" ht="15" hidden="false" customHeight="false" outlineLevel="0" collapsed="false">
      <c r="A170" s="3" t="s">
        <v>1321</v>
      </c>
      <c r="B170" s="22" t="s">
        <v>1322</v>
      </c>
      <c r="C170" s="3" t="n">
        <v>8</v>
      </c>
      <c r="D170" s="22" t="s">
        <v>1323</v>
      </c>
      <c r="E170" s="3" t="n">
        <v>2</v>
      </c>
      <c r="F170" s="22" t="s">
        <v>1324</v>
      </c>
      <c r="G170" s="3" t="n">
        <v>4</v>
      </c>
      <c r="H170" s="22" t="s">
        <v>1325</v>
      </c>
      <c r="I170" s="3" t="n">
        <v>4</v>
      </c>
    </row>
    <row r="171" customFormat="false" ht="15" hidden="false" customHeight="false" outlineLevel="0" collapsed="false">
      <c r="A171" s="3" t="s">
        <v>1326</v>
      </c>
      <c r="B171" s="22" t="s">
        <v>1327</v>
      </c>
      <c r="C171" s="3" t="n">
        <v>14</v>
      </c>
      <c r="D171" s="22" t="s">
        <v>1328</v>
      </c>
      <c r="E171" s="3" t="n">
        <v>1</v>
      </c>
      <c r="F171" s="22" t="s">
        <v>1327</v>
      </c>
      <c r="G171" s="3" t="n">
        <v>0</v>
      </c>
      <c r="H171" s="22" t="s">
        <v>1329</v>
      </c>
      <c r="I171" s="3" t="n">
        <v>5</v>
      </c>
    </row>
    <row r="172" customFormat="false" ht="15" hidden="false" customHeight="false" outlineLevel="0" collapsed="false">
      <c r="A172" s="3" t="s">
        <v>1330</v>
      </c>
      <c r="B172" s="22" t="s">
        <v>1331</v>
      </c>
      <c r="C172" s="3" t="n">
        <v>12</v>
      </c>
      <c r="D172" s="22" t="s">
        <v>1331</v>
      </c>
      <c r="E172" s="3" t="n">
        <v>0</v>
      </c>
      <c r="F172" s="22" t="s">
        <v>1331</v>
      </c>
      <c r="G172" s="3" t="n">
        <v>0</v>
      </c>
      <c r="H172" s="22" t="s">
        <v>1332</v>
      </c>
      <c r="I172" s="3" t="n">
        <v>3</v>
      </c>
    </row>
    <row r="173" customFormat="false" ht="15" hidden="false" customHeight="false" outlineLevel="0" collapsed="false">
      <c r="A173" s="3" t="s">
        <v>1333</v>
      </c>
      <c r="B173" s="22" t="s">
        <v>1334</v>
      </c>
      <c r="C173" s="3" t="n">
        <v>9</v>
      </c>
      <c r="D173" s="22" t="s">
        <v>1335</v>
      </c>
      <c r="E173" s="3" t="n">
        <v>0</v>
      </c>
      <c r="F173" s="22" t="s">
        <v>1335</v>
      </c>
      <c r="G173" s="3" t="n">
        <v>0</v>
      </c>
      <c r="H173" s="22" t="s">
        <v>1336</v>
      </c>
      <c r="I173" s="3" t="n">
        <v>5</v>
      </c>
    </row>
    <row r="174" customFormat="false" ht="15" hidden="false" customHeight="false" outlineLevel="0" collapsed="false">
      <c r="A174" s="3" t="s">
        <v>1337</v>
      </c>
      <c r="B174" s="22" t="s">
        <v>1338</v>
      </c>
      <c r="C174" s="3" t="n">
        <v>8</v>
      </c>
      <c r="D174" s="22" t="s">
        <v>1339</v>
      </c>
      <c r="E174" s="3" t="n">
        <v>5</v>
      </c>
      <c r="F174" s="22" t="s">
        <v>1340</v>
      </c>
      <c r="G174" s="3" t="n">
        <v>6</v>
      </c>
      <c r="H174" s="22" t="s">
        <v>1341</v>
      </c>
      <c r="I174" s="3" t="n">
        <v>7</v>
      </c>
    </row>
    <row r="175" customFormat="false" ht="15" hidden="false" customHeight="false" outlineLevel="0" collapsed="false">
      <c r="A175" s="3" t="s">
        <v>1342</v>
      </c>
      <c r="B175" s="22" t="s">
        <v>1343</v>
      </c>
      <c r="C175" s="3" t="n">
        <v>12</v>
      </c>
      <c r="D175" s="22" t="s">
        <v>1343</v>
      </c>
      <c r="E175" s="3" t="n">
        <v>0</v>
      </c>
      <c r="F175" s="22" t="s">
        <v>1343</v>
      </c>
      <c r="G175" s="3" t="n">
        <v>0</v>
      </c>
      <c r="H175" s="22" t="s">
        <v>1344</v>
      </c>
      <c r="I175" s="3" t="n">
        <v>1</v>
      </c>
    </row>
    <row r="176" customFormat="false" ht="15" hidden="false" customHeight="false" outlineLevel="0" collapsed="false">
      <c r="A176" s="3" t="s">
        <v>1345</v>
      </c>
      <c r="B176" s="22" t="s">
        <v>1346</v>
      </c>
      <c r="C176" s="3" t="n">
        <v>7</v>
      </c>
      <c r="D176" s="22" t="s">
        <v>1347</v>
      </c>
      <c r="E176" s="3" t="n">
        <v>2</v>
      </c>
      <c r="F176" s="22" t="s">
        <v>1348</v>
      </c>
      <c r="G176" s="3" t="n">
        <v>2</v>
      </c>
      <c r="H176" s="22" t="s">
        <v>1349</v>
      </c>
      <c r="I176" s="3" t="n">
        <v>2</v>
      </c>
    </row>
    <row r="177" customFormat="false" ht="15" hidden="false" customHeight="false" outlineLevel="0" collapsed="false">
      <c r="A177" s="3" t="s">
        <v>1350</v>
      </c>
      <c r="B177" s="22" t="s">
        <v>1351</v>
      </c>
      <c r="C177" s="3" t="n">
        <v>13</v>
      </c>
      <c r="D177" s="22" t="s">
        <v>1351</v>
      </c>
      <c r="E177" s="3" t="n">
        <v>0</v>
      </c>
      <c r="F177" s="22" t="s">
        <v>1352</v>
      </c>
      <c r="G177" s="3" t="n">
        <v>5</v>
      </c>
      <c r="H177" s="22" t="s">
        <v>1353</v>
      </c>
      <c r="I177" s="3" t="n">
        <v>3</v>
      </c>
    </row>
    <row r="178" customFormat="false" ht="15" hidden="false" customHeight="false" outlineLevel="0" collapsed="false">
      <c r="A178" s="3" t="s">
        <v>1354</v>
      </c>
      <c r="B178" s="22" t="s">
        <v>1355</v>
      </c>
      <c r="C178" s="3" t="n">
        <v>6</v>
      </c>
      <c r="D178" s="22" t="s">
        <v>1356</v>
      </c>
      <c r="E178" s="3" t="n">
        <v>1</v>
      </c>
      <c r="F178" s="22" t="s">
        <v>1356</v>
      </c>
      <c r="G178" s="3" t="n">
        <v>1</v>
      </c>
      <c r="H178" s="22" t="s">
        <v>1357</v>
      </c>
      <c r="I178" s="3" t="n">
        <v>1</v>
      </c>
    </row>
    <row r="179" customFormat="false" ht="15" hidden="false" customHeight="false" outlineLevel="0" collapsed="false">
      <c r="A179" s="3" t="s">
        <v>1358</v>
      </c>
      <c r="B179" s="22" t="s">
        <v>1359</v>
      </c>
      <c r="C179" s="3" t="n">
        <v>11</v>
      </c>
      <c r="D179" s="22" t="s">
        <v>1359</v>
      </c>
      <c r="E179" s="3" t="n">
        <v>0</v>
      </c>
      <c r="F179" s="22" t="s">
        <v>1359</v>
      </c>
      <c r="G179" s="3" t="n">
        <v>0</v>
      </c>
      <c r="H179" s="22" t="s">
        <v>1360</v>
      </c>
      <c r="I179" s="3" t="n">
        <v>2</v>
      </c>
    </row>
    <row r="180" customFormat="false" ht="15" hidden="false" customHeight="false" outlineLevel="0" collapsed="false">
      <c r="A180" s="3" t="s">
        <v>1361</v>
      </c>
      <c r="B180" s="22" t="s">
        <v>1362</v>
      </c>
      <c r="C180" s="3" t="n">
        <v>14</v>
      </c>
      <c r="D180" s="22" t="s">
        <v>1363</v>
      </c>
      <c r="E180" s="3" t="n">
        <v>2</v>
      </c>
      <c r="F180" s="22" t="s">
        <v>1364</v>
      </c>
      <c r="G180" s="3" t="n">
        <v>3</v>
      </c>
      <c r="H180" s="22" t="s">
        <v>1365</v>
      </c>
      <c r="I180" s="3" t="n">
        <v>6</v>
      </c>
    </row>
    <row r="181" customFormat="false" ht="15" hidden="false" customHeight="false" outlineLevel="0" collapsed="false">
      <c r="A181" s="3" t="s">
        <v>1366</v>
      </c>
      <c r="B181" s="22" t="s">
        <v>1367</v>
      </c>
      <c r="C181" s="3" t="n">
        <v>8</v>
      </c>
      <c r="D181" s="22" t="s">
        <v>1367</v>
      </c>
      <c r="E181" s="3" t="n">
        <v>0</v>
      </c>
      <c r="F181" s="22" t="s">
        <v>1367</v>
      </c>
      <c r="G181" s="3" t="n">
        <v>0</v>
      </c>
      <c r="H181" s="22" t="s">
        <v>1367</v>
      </c>
      <c r="I181" s="3" t="n">
        <v>0</v>
      </c>
    </row>
    <row r="182" customFormat="false" ht="15" hidden="false" customHeight="false" outlineLevel="0" collapsed="false">
      <c r="A182" s="3" t="s">
        <v>1368</v>
      </c>
      <c r="B182" s="22" t="s">
        <v>1369</v>
      </c>
      <c r="C182" s="3" t="n">
        <v>6</v>
      </c>
      <c r="D182" s="22" t="s">
        <v>1369</v>
      </c>
      <c r="E182" s="3" t="n">
        <v>0</v>
      </c>
      <c r="F182" s="22" t="s">
        <v>1370</v>
      </c>
      <c r="G182" s="3" t="n">
        <v>1</v>
      </c>
      <c r="H182" s="22" t="s">
        <v>1369</v>
      </c>
      <c r="I182" s="3" t="n">
        <v>0</v>
      </c>
    </row>
    <row r="183" customFormat="false" ht="15" hidden="false" customHeight="false" outlineLevel="0" collapsed="false">
      <c r="A183" s="3" t="s">
        <v>1371</v>
      </c>
      <c r="B183" s="22" t="s">
        <v>1372</v>
      </c>
      <c r="C183" s="3" t="n">
        <v>19</v>
      </c>
      <c r="D183" s="22" t="s">
        <v>1372</v>
      </c>
      <c r="E183" s="3" t="n">
        <v>0</v>
      </c>
      <c r="F183" s="22" t="s">
        <v>1373</v>
      </c>
      <c r="G183" s="3" t="n">
        <v>0</v>
      </c>
      <c r="H183" s="22" t="s">
        <v>1374</v>
      </c>
      <c r="I183" s="3" t="n">
        <v>5</v>
      </c>
    </row>
    <row r="184" customFormat="false" ht="15" hidden="false" customHeight="false" outlineLevel="0" collapsed="false">
      <c r="A184" s="3" t="s">
        <v>1375</v>
      </c>
      <c r="B184" s="22" t="s">
        <v>1376</v>
      </c>
      <c r="C184" s="3" t="n">
        <v>13</v>
      </c>
      <c r="D184" s="22" t="s">
        <v>1376</v>
      </c>
      <c r="E184" s="3" t="n">
        <v>0</v>
      </c>
      <c r="F184" s="22" t="s">
        <v>1377</v>
      </c>
      <c r="G184" s="3" t="n">
        <v>0</v>
      </c>
      <c r="H184" s="22" t="s">
        <v>1376</v>
      </c>
      <c r="I184" s="3" t="n">
        <v>0</v>
      </c>
    </row>
    <row r="185" customFormat="false" ht="15" hidden="false" customHeight="false" outlineLevel="0" collapsed="false">
      <c r="A185" s="3" t="s">
        <v>1378</v>
      </c>
      <c r="B185" s="22" t="s">
        <v>1379</v>
      </c>
      <c r="C185" s="3" t="n">
        <v>13</v>
      </c>
      <c r="D185" s="22" t="s">
        <v>1379</v>
      </c>
      <c r="E185" s="3" t="n">
        <v>0</v>
      </c>
      <c r="F185" s="22" t="s">
        <v>1380</v>
      </c>
      <c r="G185" s="3" t="n">
        <v>2</v>
      </c>
      <c r="H185" s="22" t="s">
        <v>1381</v>
      </c>
      <c r="I185" s="3" t="n">
        <v>2</v>
      </c>
    </row>
    <row r="186" customFormat="false" ht="15" hidden="false" customHeight="false" outlineLevel="0" collapsed="false">
      <c r="A186" s="3" t="s">
        <v>1382</v>
      </c>
      <c r="B186" s="22" t="s">
        <v>1383</v>
      </c>
      <c r="C186" s="3" t="n">
        <v>7</v>
      </c>
      <c r="D186" s="22" t="s">
        <v>1383</v>
      </c>
      <c r="E186" s="3" t="n">
        <v>0</v>
      </c>
      <c r="F186" s="22" t="s">
        <v>1383</v>
      </c>
      <c r="G186" s="3" t="n">
        <v>0</v>
      </c>
      <c r="H186" s="22" t="s">
        <v>1384</v>
      </c>
      <c r="I186" s="3" t="n">
        <v>1</v>
      </c>
    </row>
    <row r="187" customFormat="false" ht="15" hidden="false" customHeight="false" outlineLevel="0" collapsed="false">
      <c r="A187" s="3" t="s">
        <v>1385</v>
      </c>
      <c r="B187" s="22" t="s">
        <v>1386</v>
      </c>
      <c r="C187" s="3" t="n">
        <v>11</v>
      </c>
      <c r="D187" s="22" t="s">
        <v>1387</v>
      </c>
      <c r="E187" s="3" t="n">
        <v>2</v>
      </c>
      <c r="F187" s="22" t="s">
        <v>1388</v>
      </c>
      <c r="G187" s="3" t="n">
        <v>3</v>
      </c>
      <c r="H187" s="22" t="s">
        <v>1389</v>
      </c>
      <c r="I187" s="3" t="n">
        <v>2</v>
      </c>
    </row>
    <row r="188" customFormat="false" ht="15" hidden="false" customHeight="false" outlineLevel="0" collapsed="false">
      <c r="A188" s="3" t="s">
        <v>1390</v>
      </c>
      <c r="B188" s="22" t="s">
        <v>1391</v>
      </c>
      <c r="C188" s="3" t="n">
        <v>14</v>
      </c>
      <c r="D188" s="22" t="s">
        <v>1392</v>
      </c>
      <c r="E188" s="3" t="n">
        <v>1</v>
      </c>
      <c r="F188" s="22" t="s">
        <v>1393</v>
      </c>
      <c r="G188" s="3" t="n">
        <v>3</v>
      </c>
      <c r="H188" s="22" t="s">
        <v>1394</v>
      </c>
      <c r="I188" s="3" t="n">
        <v>5</v>
      </c>
    </row>
    <row r="189" customFormat="false" ht="15" hidden="false" customHeight="false" outlineLevel="0" collapsed="false">
      <c r="A189" s="3" t="s">
        <v>1395</v>
      </c>
      <c r="B189" s="22" t="s">
        <v>1396</v>
      </c>
      <c r="C189" s="3" t="n">
        <v>6</v>
      </c>
      <c r="D189" s="22" t="s">
        <v>1397</v>
      </c>
      <c r="E189" s="3" t="n">
        <v>3</v>
      </c>
      <c r="F189" s="22" t="s">
        <v>1398</v>
      </c>
      <c r="G189" s="3" t="n">
        <v>2</v>
      </c>
      <c r="H189" s="22" t="s">
        <v>1397</v>
      </c>
      <c r="I189" s="3" t="n">
        <v>3</v>
      </c>
    </row>
    <row r="190" customFormat="false" ht="15" hidden="false" customHeight="false" outlineLevel="0" collapsed="false">
      <c r="A190" s="3" t="s">
        <v>1399</v>
      </c>
      <c r="B190" s="22" t="s">
        <v>1400</v>
      </c>
      <c r="C190" s="3" t="n">
        <v>11</v>
      </c>
      <c r="D190" s="22" t="s">
        <v>1401</v>
      </c>
      <c r="E190" s="3" t="n">
        <v>1</v>
      </c>
      <c r="F190" s="22" t="s">
        <v>1402</v>
      </c>
      <c r="G190" s="3" t="n">
        <v>5</v>
      </c>
      <c r="H190" s="22" t="s">
        <v>1403</v>
      </c>
      <c r="I190" s="3" t="n">
        <v>4</v>
      </c>
    </row>
    <row r="191" customFormat="false" ht="15" hidden="false" customHeight="false" outlineLevel="0" collapsed="false">
      <c r="A191" s="3" t="s">
        <v>1404</v>
      </c>
      <c r="B191" s="22" t="s">
        <v>1405</v>
      </c>
      <c r="C191" s="3" t="n">
        <v>6</v>
      </c>
      <c r="D191" s="22" t="s">
        <v>1405</v>
      </c>
      <c r="E191" s="3" t="n">
        <v>0</v>
      </c>
      <c r="F191" s="22" t="s">
        <v>1405</v>
      </c>
      <c r="G191" s="3" t="n">
        <v>0</v>
      </c>
      <c r="H191" s="22" t="s">
        <v>1406</v>
      </c>
      <c r="I191" s="3" t="n">
        <v>2</v>
      </c>
    </row>
    <row r="192" customFormat="false" ht="15" hidden="false" customHeight="false" outlineLevel="0" collapsed="false">
      <c r="A192" s="3" t="s">
        <v>1407</v>
      </c>
      <c r="B192" s="22" t="s">
        <v>1408</v>
      </c>
      <c r="C192" s="3" t="n">
        <v>7</v>
      </c>
      <c r="D192" s="22" t="s">
        <v>1409</v>
      </c>
      <c r="E192" s="3" t="n">
        <v>1</v>
      </c>
      <c r="F192" s="22" t="s">
        <v>1410</v>
      </c>
      <c r="G192" s="3" t="n">
        <v>3</v>
      </c>
      <c r="H192" s="22" t="s">
        <v>1411</v>
      </c>
      <c r="I192" s="3" t="n">
        <v>3</v>
      </c>
    </row>
    <row r="193" customFormat="false" ht="15" hidden="false" customHeight="false" outlineLevel="0" collapsed="false">
      <c r="A193" s="3" t="s">
        <v>1412</v>
      </c>
      <c r="B193" s="22" t="s">
        <v>1413</v>
      </c>
      <c r="C193" s="3" t="n">
        <v>6</v>
      </c>
      <c r="D193" s="22" t="s">
        <v>1414</v>
      </c>
      <c r="E193" s="3" t="n">
        <v>0</v>
      </c>
      <c r="F193" s="22" t="s">
        <v>1415</v>
      </c>
      <c r="G193" s="3" t="n">
        <v>1</v>
      </c>
      <c r="H193" s="22" t="s">
        <v>1416</v>
      </c>
      <c r="I193" s="3" t="n">
        <v>1</v>
      </c>
    </row>
    <row r="194" customFormat="false" ht="15" hidden="false" customHeight="false" outlineLevel="0" collapsed="false">
      <c r="A194" s="3" t="s">
        <v>1417</v>
      </c>
      <c r="B194" s="22" t="s">
        <v>1418</v>
      </c>
      <c r="C194" s="3" t="n">
        <v>15</v>
      </c>
      <c r="D194" s="22" t="s">
        <v>1419</v>
      </c>
      <c r="E194" s="3" t="n">
        <v>3</v>
      </c>
      <c r="F194" s="22" t="s">
        <v>1420</v>
      </c>
      <c r="G194" s="3" t="n">
        <v>7</v>
      </c>
      <c r="H194" s="22" t="s">
        <v>1421</v>
      </c>
      <c r="I194" s="3" t="n">
        <v>8</v>
      </c>
    </row>
    <row r="195" customFormat="false" ht="15" hidden="false" customHeight="false" outlineLevel="0" collapsed="false">
      <c r="A195" s="3" t="s">
        <v>1422</v>
      </c>
      <c r="B195" s="22" t="s">
        <v>1423</v>
      </c>
      <c r="C195" s="3" t="n">
        <v>6</v>
      </c>
      <c r="D195" s="22" t="s">
        <v>1423</v>
      </c>
      <c r="E195" s="3" t="n">
        <v>0</v>
      </c>
      <c r="F195" s="22" t="s">
        <v>1424</v>
      </c>
      <c r="G195" s="3" t="n">
        <v>1</v>
      </c>
      <c r="H195" s="22" t="s">
        <v>1425</v>
      </c>
      <c r="I195" s="3" t="n">
        <v>2</v>
      </c>
    </row>
    <row r="196" customFormat="false" ht="15" hidden="false" customHeight="false" outlineLevel="0" collapsed="false">
      <c r="A196" s="3" t="s">
        <v>1426</v>
      </c>
      <c r="B196" s="22" t="s">
        <v>1427</v>
      </c>
      <c r="C196" s="3" t="n">
        <v>13</v>
      </c>
      <c r="D196" s="22" t="s">
        <v>1428</v>
      </c>
      <c r="E196" s="3" t="n">
        <v>1</v>
      </c>
      <c r="F196" s="22" t="s">
        <v>1429</v>
      </c>
      <c r="G196" s="3" t="n">
        <v>2</v>
      </c>
      <c r="H196" s="22" t="s">
        <v>1430</v>
      </c>
      <c r="I196" s="3" t="n">
        <v>4</v>
      </c>
    </row>
    <row r="197" customFormat="false" ht="15" hidden="false" customHeight="false" outlineLevel="0" collapsed="false">
      <c r="A197" s="3" t="s">
        <v>1431</v>
      </c>
      <c r="B197" s="22" t="s">
        <v>1432</v>
      </c>
      <c r="C197" s="3" t="n">
        <v>5</v>
      </c>
      <c r="D197" s="22" t="s">
        <v>1433</v>
      </c>
      <c r="E197" s="3" t="n">
        <v>1</v>
      </c>
      <c r="F197" s="22" t="s">
        <v>1434</v>
      </c>
      <c r="G197" s="3" t="n">
        <v>3</v>
      </c>
      <c r="H197" s="22" t="s">
        <v>1435</v>
      </c>
      <c r="I197" s="3" t="n">
        <v>3</v>
      </c>
    </row>
    <row r="198" customFormat="false" ht="15" hidden="false" customHeight="false" outlineLevel="0" collapsed="false">
      <c r="A198" s="3" t="s">
        <v>1436</v>
      </c>
      <c r="B198" s="22" t="s">
        <v>1437</v>
      </c>
      <c r="C198" s="3" t="n">
        <v>5</v>
      </c>
      <c r="D198" s="22" t="s">
        <v>1438</v>
      </c>
      <c r="E198" s="3" t="n">
        <v>0</v>
      </c>
      <c r="F198" s="22" t="s">
        <v>1437</v>
      </c>
      <c r="G198" s="3" t="n">
        <v>0</v>
      </c>
      <c r="H198" s="22" t="s">
        <v>1439</v>
      </c>
      <c r="I198" s="3" t="n">
        <v>4</v>
      </c>
    </row>
    <row r="199" customFormat="false" ht="15" hidden="false" customHeight="false" outlineLevel="0" collapsed="false">
      <c r="A199" s="3" t="s">
        <v>1440</v>
      </c>
      <c r="B199" s="22" t="s">
        <v>1441</v>
      </c>
      <c r="C199" s="3" t="n">
        <v>12</v>
      </c>
      <c r="D199" s="22" t="s">
        <v>1442</v>
      </c>
      <c r="E199" s="3" t="n">
        <v>1</v>
      </c>
      <c r="F199" s="22" t="s">
        <v>1442</v>
      </c>
      <c r="G199" s="3" t="n">
        <v>1</v>
      </c>
      <c r="H199" s="22" t="s">
        <v>1443</v>
      </c>
      <c r="I199" s="3" t="n">
        <v>6</v>
      </c>
    </row>
    <row r="200" customFormat="false" ht="15" hidden="false" customHeight="false" outlineLevel="0" collapsed="false">
      <c r="A200" s="3" t="s">
        <v>1444</v>
      </c>
      <c r="B200" s="22" t="s">
        <v>1445</v>
      </c>
      <c r="C200" s="3" t="n">
        <v>15</v>
      </c>
      <c r="D200" s="22" t="s">
        <v>1446</v>
      </c>
      <c r="E200" s="3" t="n">
        <v>1</v>
      </c>
      <c r="F200" s="22" t="s">
        <v>1447</v>
      </c>
      <c r="G200" s="3" t="n">
        <v>1</v>
      </c>
      <c r="H200" s="22" t="s">
        <v>1448</v>
      </c>
      <c r="I200" s="3" t="n">
        <v>5</v>
      </c>
    </row>
    <row r="201" customFormat="false" ht="15" hidden="false" customHeight="false" outlineLevel="0" collapsed="false">
      <c r="A201" s="3" t="s">
        <v>1449</v>
      </c>
      <c r="B201" s="22" t="s">
        <v>1450</v>
      </c>
      <c r="C201" s="3" t="n">
        <v>9</v>
      </c>
      <c r="D201" s="22" t="s">
        <v>1451</v>
      </c>
      <c r="E201" s="3" t="n">
        <v>1</v>
      </c>
      <c r="F201" s="22" t="s">
        <v>1450</v>
      </c>
      <c r="G201" s="3" t="n">
        <v>0</v>
      </c>
      <c r="H201" s="22" t="s">
        <v>1452</v>
      </c>
      <c r="I201" s="3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2026-10-13T13:51:12Z</dcterms:created>
  <dc:creator>openpyxl</dc:creator>
  <dc:description/>
  <dc:language>en-US</dc:language>
  <cp:lastModifiedBy/>
  <dcterms:modified xsi:type="dcterms:W3CDTF">2026-10-13T13:51:12Z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